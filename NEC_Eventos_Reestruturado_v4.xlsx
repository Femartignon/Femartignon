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65" firstSheet="2" activeTab="2" autoFilterDateGrouping="1"/>
  </bookViews>
  <sheets>
    <sheet name="🏠 INÍCIO" sheetId="1" state="visible" r:id="rId1"/>
    <sheet name="DB_EVENTOS" sheetId="2" state="visible" r:id="rId2"/>
    <sheet name="DB_ATIVIDADES" sheetId="3" state="visible" r:id="rId3"/>
    <sheet name="DB_FINANCEIRO" sheetId="4" state="visible" r:id="rId4"/>
    <sheet name="DB_FORNECEDORES" sheetId="5" state="visible" r:id="rId5"/>
    <sheet name="DB_PARTICIPANTES" sheetId="6" state="visible" r:id="rId6"/>
    <sheet name="PQ_Dashboard" sheetId="7" state="hidden" r:id="rId7"/>
    <sheet name="PQ_FinanceiroPendente" sheetId="8" state="hidden" r:id="rId8"/>
    <sheet name="PQ_AtividadesPendentes" sheetId="9" state="hidden" r:id="rId9"/>
    <sheet name="PQ_EventosAtivos" sheetId="10" state="hidden" r:id="rId10"/>
    <sheet name="📊 DASHBOARD" sheetId="11" state="visible" r:id="rId11"/>
    <sheet name="⚡ ALERTAS" sheetId="12" state="visible" r:id="rId12"/>
    <sheet name="PARTICIPAÇÃO" sheetId="13" state="visible" r:id="rId13"/>
    <sheet name="MODELO_CHECKLIST" sheetId="14" state="visible" r:id="rId14"/>
    <sheet name="🗺️ ROADMAP" sheetId="15" state="visible" r:id="rId15"/>
  </sheets>
  <definedNames>
    <definedName name="ExternalData_4" localSheetId="6" hidden="1">PQ_Dashboard!$A$1:$C$13</definedName>
    <definedName name="ExternalData_3" localSheetId="7" hidden="1">PQ_FinanceiroPendente!$A$1:$Q$3</definedName>
    <definedName name="ExternalData_2" localSheetId="8" hidden="1">PQ_AtividadesPendentes!$A$1:$K$67</definedName>
    <definedName name="ExternalData_1" localSheetId="9" hidden="1">PQ_EventosAtivos!$A$1:$AB$15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\R\$\ #,##0.00"/>
    <numFmt numFmtId="165" formatCode="\R\$\ #,##0"/>
    <numFmt numFmtId="166" formatCode="_-&quot;R$&quot;\ * #,##0.00_-;\-&quot;R$&quot;\ * #,##0.00_-;_-&quot;R$&quot;\ * &quot;-&quot;??_-;_-@_-"/>
    <numFmt numFmtId="167" formatCode="DD/MM/YYYY"/>
  </numFmts>
  <fonts count="44">
    <font>
      <name val="Calibri"/>
      <family val="2"/>
      <color theme="1"/>
      <sz val="11"/>
      <scheme val="minor"/>
    </font>
    <font>
      <name val="Calibri"/>
      <b val="1"/>
      <color rgb="FFFFFFFF"/>
      <sz val="22"/>
    </font>
    <font>
      <name val="Calibri"/>
      <color rgb="FF9DC3E6"/>
      <sz val="10"/>
    </font>
    <font>
      <name val="Calibri"/>
      <b val="1"/>
      <color rgb="FFFFFFFF"/>
      <sz val="11"/>
    </font>
    <font>
      <name val="Calibri"/>
      <color rgb="FF404040"/>
      <sz val="8"/>
    </font>
    <font>
      <name val="Calibri"/>
      <color rgb="FF7F6000"/>
      <sz val="9"/>
    </font>
    <font>
      <name val="Calibri"/>
      <b val="1"/>
      <color rgb="FFFFFFFF"/>
      <sz val="12"/>
    </font>
    <font>
      <name val="Calibri"/>
      <color rgb="FF1F3864"/>
      <sz val="9"/>
    </font>
    <font>
      <name val="Calibri"/>
      <b val="1"/>
      <color rgb="FFFFFFFF"/>
      <sz val="10"/>
    </font>
    <font>
      <name val="Calibri"/>
      <color rgb="FF000000"/>
      <sz val="9"/>
    </font>
    <font>
      <name val="Calibri"/>
      <b val="1"/>
      <color rgb="FF375623"/>
      <sz val="9"/>
    </font>
    <font>
      <name val="Calibri"/>
      <b val="1"/>
      <color rgb="FF1F3864"/>
      <sz val="9"/>
    </font>
    <font>
      <name val="Calibri"/>
      <b val="1"/>
      <color rgb="FFC00000"/>
      <sz val="9"/>
    </font>
    <font>
      <name val="Calibri"/>
      <i val="1"/>
      <color rgb="FF7F6000"/>
      <sz val="8"/>
    </font>
    <font>
      <name val="Calibri"/>
      <b val="1"/>
      <color rgb="FF843C0C"/>
      <sz val="9"/>
    </font>
    <font>
      <name val="Calibri"/>
      <color rgb="FF843C0C"/>
      <sz val="9"/>
    </font>
    <font>
      <name val="Calibri"/>
      <b val="1"/>
      <color rgb="FF7F6000"/>
      <sz val="9"/>
    </font>
    <font>
      <name val="Calibri"/>
      <b val="1"/>
      <color rgb="FFFFFFFF"/>
      <sz val="13"/>
    </font>
    <font>
      <name val="Calibri"/>
      <color rgb="FF1F6B75"/>
      <sz val="9"/>
    </font>
    <font>
      <name val="Calibri"/>
      <color rgb="FF7030A0"/>
      <sz val="9"/>
    </font>
    <font>
      <name val="Calibri"/>
      <b val="1"/>
      <color rgb="FFFFFFFF"/>
      <sz val="18"/>
    </font>
    <font>
      <name val="Calibri"/>
      <color rgb="FF404040"/>
      <sz val="9"/>
    </font>
    <font>
      <name val="Calibri"/>
      <b val="1"/>
      <color rgb="FF1F3864"/>
      <sz val="12"/>
    </font>
    <font>
      <name val="Calibri"/>
      <b val="1"/>
      <color rgb="FFFFFFFF"/>
      <sz val="20"/>
    </font>
    <font>
      <name val="Calibri"/>
      <color rgb="FF1F3864"/>
      <sz val="10"/>
    </font>
    <font>
      <name val="Calibri"/>
      <b val="1"/>
      <color rgb="FFFFFFFF"/>
      <sz val="9"/>
    </font>
    <font>
      <name val="Calibri"/>
      <b val="1"/>
      <color rgb="FFFFFFFF"/>
      <sz val="26"/>
    </font>
    <font>
      <name val="Calibri"/>
      <b val="1"/>
      <color rgb="FF7030A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9"/>
    </font>
    <font>
      <name val="Calibri"/>
      <family val="2"/>
      <color rgb="FF1F3864"/>
      <sz val="9"/>
    </font>
    <font>
      <name val="Calibri"/>
      <family val="2"/>
      <color rgb="FFFF0000"/>
      <sz val="9"/>
    </font>
    <font>
      <name val="Calibri"/>
      <family val="2"/>
      <sz val="9"/>
    </font>
    <font>
      <name val="Calibri"/>
      <family val="2"/>
      <color rgb="FFFFC000"/>
      <sz val="9"/>
    </font>
    <font>
      <name val="Calibri"/>
      <family val="2"/>
      <color theme="9" tint="-0.499984740745262"/>
      <sz val="9"/>
    </font>
    <font>
      <name val="Calibri"/>
      <family val="2"/>
      <color rgb="FF375623"/>
      <sz val="9"/>
    </font>
    <font>
      <name val="Calibri"/>
      <family val="2"/>
      <color rgb="FF843C0C"/>
      <sz val="9"/>
    </font>
    <font>
      <name val="Calibri"/>
      <family val="2"/>
      <color rgb="FF92D050"/>
      <sz val="9"/>
    </font>
    <font>
      <name val="Calibri"/>
      <family val="2"/>
      <color theme="1"/>
      <sz val="12"/>
      <scheme val="minor"/>
    </font>
    <font>
      <name val="Calibri"/>
      <family val="2"/>
      <color rgb="FF1F3864"/>
      <sz val="12"/>
    </font>
    <font>
      <name val="Calibri"/>
      <family val="2"/>
      <color rgb="FFBDD7EE"/>
      <sz val="18"/>
    </font>
    <font>
      <name val="Calibri"/>
      <family val="2"/>
      <color theme="1"/>
      <sz val="18"/>
      <scheme val="minor"/>
    </font>
    <font>
      <name val="Calibri"/>
      <family val="2"/>
      <b val="1"/>
      <color rgb="FFFFFFFF"/>
      <sz val="12"/>
    </font>
    <font>
      <name val="Calibri"/>
      <family val="2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1F6B75"/>
      </patternFill>
    </fill>
    <fill>
      <patternFill patternType="solid">
        <fgColor rgb="FF7030A0"/>
      </patternFill>
    </fill>
    <fill>
      <patternFill patternType="solid">
        <fgColor rgb="FFC4700E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DDD8"/>
      </patternFill>
    </fill>
    <fill>
      <patternFill patternType="solid">
        <fgColor rgb="FFFFFFF0"/>
      </patternFill>
    </fill>
    <fill>
      <patternFill patternType="solid">
        <fgColor rgb="FFFCE4D6"/>
      </patternFill>
    </fill>
    <fill>
      <patternFill patternType="solid">
        <fgColor rgb="FFD9EAF5"/>
      </patternFill>
    </fill>
    <fill>
      <patternFill patternType="solid">
        <fgColor rgb="FFEAD1FF"/>
      </patternFill>
    </fill>
    <fill>
      <patternFill patternType="solid">
        <fgColor rgb="FFC00000"/>
      </patternFill>
    </fill>
    <fill>
      <patternFill patternType="solid">
        <fgColor rgb="FF7F6000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3">
    <xf numFmtId="0" fontId="28" fillId="0" borderId="0"/>
    <xf numFmtId="44" fontId="28" fillId="0" borderId="0"/>
    <xf numFmtId="9" fontId="28" fillId="0" borderId="0"/>
  </cellStyleXfs>
  <cellXfs count="145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14" fontId="9" fillId="12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4" fontId="9" fillId="4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9" fontId="12" fillId="14" borderId="2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164" fontId="9" fillId="12" borderId="2" applyAlignment="1" pivotButton="0" quotePrefix="0" xfId="0">
      <alignment horizontal="right" vertical="center" wrapText="1"/>
    </xf>
    <xf numFmtId="164" fontId="9" fillId="4" borderId="2" applyAlignment="1" pivotButton="0" quotePrefix="0" xfId="0">
      <alignment horizontal="right" vertical="center" wrapText="1"/>
    </xf>
    <xf numFmtId="0" fontId="16" fillId="11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left" vertical="center" wrapText="1"/>
    </xf>
    <xf numFmtId="0" fontId="25" fillId="2" borderId="2" applyAlignment="1" pivotButton="0" quotePrefix="0" xfId="0">
      <alignment horizontal="center" vertical="center" wrapText="1"/>
    </xf>
    <xf numFmtId="0" fontId="25" fillId="6" borderId="2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center" vertical="center" wrapText="1"/>
    </xf>
    <xf numFmtId="0" fontId="25" fillId="8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right" vertical="center" wrapText="1"/>
    </xf>
    <xf numFmtId="165" fontId="9" fillId="12" borderId="2" applyAlignment="1" pivotButton="0" quotePrefix="0" xfId="0">
      <alignment horizontal="right" vertical="center" wrapText="1"/>
    </xf>
    <xf numFmtId="0" fontId="5" fillId="11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center" vertical="center" wrapText="1"/>
    </xf>
    <xf numFmtId="9" fontId="9" fillId="12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9" fontId="9" fillId="4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27" fillId="4" borderId="2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8" fillId="17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left" vertical="center" wrapText="1"/>
    </xf>
    <xf numFmtId="0" fontId="17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19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0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14" fontId="0" fillId="0" borderId="0" pivotButton="0" quotePrefix="0" xfId="0"/>
    <xf numFmtId="0" fontId="0" fillId="0" borderId="0" pivotButton="0" quotePrefix="0" xfId="0"/>
    <xf numFmtId="166" fontId="0" fillId="0" borderId="0" pivotButton="0" quotePrefix="0" xfId="1"/>
    <xf numFmtId="0" fontId="21" fillId="4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19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9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8" fillId="0" borderId="0" pivotButton="0" quotePrefix="0" xfId="0"/>
    <xf numFmtId="0" fontId="39" fillId="10" borderId="0" applyAlignment="1" pivotButton="0" quotePrefix="0" xfId="0">
      <alignment horizontal="left" vertical="center" wrapText="1"/>
    </xf>
    <xf numFmtId="0" fontId="40" fillId="2" borderId="0" applyAlignment="1" pivotButton="0" quotePrefix="0" xfId="0">
      <alignment horizontal="center" vertical="center" wrapText="1"/>
    </xf>
    <xf numFmtId="0" fontId="4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9" fillId="12" borderId="2" applyAlignment="1" pivotButton="0" quotePrefix="0" xfId="0">
      <alignment horizontal="center" vertical="center" wrapText="1"/>
    </xf>
    <xf numFmtId="164" fontId="9" fillId="4" borderId="2" applyAlignment="1" pivotButton="0" quotePrefix="0" xfId="0">
      <alignment horizontal="center" vertical="center" wrapText="1"/>
    </xf>
    <xf numFmtId="164" fontId="8" fillId="2" borderId="2" applyAlignment="1" pivotButton="0" quotePrefix="0" xfId="0">
      <alignment horizontal="center" vertical="center" wrapText="1"/>
    </xf>
    <xf numFmtId="0" fontId="29" fillId="12" borderId="2" applyAlignment="1" pivotButton="0" quotePrefix="0" xfId="0">
      <alignment horizontal="center" vertical="center" wrapText="1"/>
    </xf>
    <xf numFmtId="0" fontId="29" fillId="4" borderId="2" applyAlignment="1" pivotButton="0" quotePrefix="0" xfId="0">
      <alignment horizontal="center" vertical="center" wrapText="1"/>
    </xf>
    <xf numFmtId="0" fontId="29" fillId="12" borderId="2" applyAlignment="1" pivotButton="0" quotePrefix="0" xfId="0">
      <alignment horizontal="left" vertical="center" wrapText="1"/>
    </xf>
    <xf numFmtId="0" fontId="29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2" fillId="12" borderId="5" applyAlignment="1" pivotButton="0" quotePrefix="0" xfId="0">
      <alignment vertical="center" wrapText="1"/>
    </xf>
    <xf numFmtId="0" fontId="22" fillId="12" borderId="2" applyAlignment="1" pivotButton="0" quotePrefix="0" xfId="0">
      <alignment vertical="center" wrapText="1"/>
    </xf>
    <xf numFmtId="9" fontId="22" fillId="12" borderId="5" applyAlignment="1" pivotButton="0" quotePrefix="0" xfId="2">
      <alignment vertical="center" wrapText="1"/>
    </xf>
    <xf numFmtId="166" fontId="22" fillId="12" borderId="5" applyAlignment="1" pivotButton="0" quotePrefix="0" xfId="1">
      <alignment vertical="center" wrapText="1"/>
    </xf>
    <xf numFmtId="0" fontId="26" fillId="2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 wrapText="1"/>
    </xf>
    <xf numFmtId="0" fontId="26" fillId="6" borderId="0" applyAlignment="1" pivotButton="0" quotePrefix="0" xfId="0">
      <alignment horizontal="center" vertical="center" wrapText="1"/>
    </xf>
    <xf numFmtId="0" fontId="26" fillId="5" borderId="0" applyAlignment="1" pivotButton="0" quotePrefix="0" xfId="0">
      <alignment horizontal="center" vertical="center" wrapText="1"/>
    </xf>
    <xf numFmtId="0" fontId="26" fillId="19" borderId="0" applyAlignment="1" pivotButton="0" quotePrefix="0" xfId="0">
      <alignment horizontal="center" vertical="center" wrapText="1"/>
    </xf>
    <xf numFmtId="0" fontId="26" fillId="8" borderId="0" applyAlignment="1" pivotButton="0" quotePrefix="0" xfId="0">
      <alignment horizontal="center" vertical="center" wrapText="1"/>
    </xf>
    <xf numFmtId="0" fontId="42" fillId="2" borderId="0" applyAlignment="1" pivotButton="0" quotePrefix="0" xfId="0">
      <alignment horizontal="center" vertical="center" wrapText="1"/>
    </xf>
    <xf numFmtId="0" fontId="38" fillId="0" borderId="0" pivotButton="0" quotePrefix="0" xfId="0"/>
    <xf numFmtId="0" fontId="42" fillId="3" borderId="0" applyAlignment="1" pivotButton="0" quotePrefix="0" xfId="0">
      <alignment horizontal="center" vertical="center" wrapText="1"/>
    </xf>
    <xf numFmtId="0" fontId="42" fillId="6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2" fillId="19" borderId="0" applyAlignment="1" pivotButton="0" quotePrefix="0" xfId="0">
      <alignment horizontal="center" vertical="center" wrapText="1"/>
    </xf>
    <xf numFmtId="0" fontId="42" fillId="8" borderId="0" applyAlignment="1" pivotButton="0" quotePrefix="0" xfId="0">
      <alignment horizontal="center" vertical="center" wrapText="1"/>
    </xf>
    <xf numFmtId="0" fontId="38" fillId="0" borderId="0" pivotButton="0" quotePrefix="0" xfId="0"/>
    <xf numFmtId="0" fontId="24" fillId="10" borderId="0" applyAlignment="1" pivotButton="0" quotePrefix="0" xfId="0">
      <alignment horizontal="center" vertical="center" wrapText="1"/>
    </xf>
    <xf numFmtId="0" fontId="0" fillId="22" borderId="0" applyAlignment="1" pivotButton="0" quotePrefix="0" xfId="0">
      <alignment horizontal="center"/>
    </xf>
    <xf numFmtId="0" fontId="29" fillId="21" borderId="2" applyAlignment="1" pivotButton="0" quotePrefix="0" xfId="0">
      <alignment horizontal="left" vertical="center" wrapText="1"/>
    </xf>
    <xf numFmtId="167" fontId="13" fillId="15" borderId="2" applyAlignment="1" pivotButton="0" quotePrefix="0" xfId="0">
      <alignment horizontal="center" vertical="center" wrapText="1"/>
    </xf>
    <xf numFmtId="164" fontId="9" fillId="12" borderId="2" applyAlignment="1" pivotButton="0" quotePrefix="0" xfId="0">
      <alignment horizontal="center" vertical="center" wrapText="1"/>
    </xf>
    <xf numFmtId="164" fontId="9" fillId="4" borderId="2" applyAlignment="1" pivotButton="0" quotePrefix="0" xfId="0">
      <alignment horizontal="center" vertical="center" wrapText="1"/>
    </xf>
    <xf numFmtId="164" fontId="8" fillId="2" borderId="2" applyAlignment="1" pivotButton="0" quotePrefix="0" xfId="0">
      <alignment horizontal="center" vertical="center" wrapText="1"/>
    </xf>
    <xf numFmtId="164" fontId="9" fillId="12" borderId="2" applyAlignment="1" pivotButton="0" quotePrefix="0" xfId="0">
      <alignment horizontal="right" vertical="center" wrapText="1"/>
    </xf>
    <xf numFmtId="164" fontId="9" fillId="4" borderId="2" applyAlignment="1" pivotButton="0" quotePrefix="0" xfId="0">
      <alignment horizontal="right" vertical="center" wrapText="1"/>
    </xf>
    <xf numFmtId="166" fontId="0" fillId="0" borderId="0" pivotButton="0" quotePrefix="0" xfId="1"/>
    <xf numFmtId="165" fontId="9" fillId="4" borderId="2" applyAlignment="1" pivotButton="0" quotePrefix="0" xfId="0">
      <alignment horizontal="right" vertical="center" wrapText="1"/>
    </xf>
    <xf numFmtId="165" fontId="9" fillId="12" borderId="2" applyAlignment="1" pivotButton="0" quotePrefix="0" xfId="0">
      <alignment horizontal="right" vertical="center" wrapText="1"/>
    </xf>
    <xf numFmtId="0" fontId="3" fillId="19" borderId="9" applyAlignment="1" pivotButton="0" quotePrefix="0" xfId="0">
      <alignment horizontal="center" vertical="center" wrapText="1"/>
    </xf>
    <xf numFmtId="0" fontId="3" fillId="9" borderId="9" applyAlignment="1" pivotButton="0" quotePrefix="0" xfId="0">
      <alignment horizontal="center" vertical="center" wrapText="1"/>
    </xf>
    <xf numFmtId="0" fontId="3" fillId="20" borderId="9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 wrapText="1"/>
    </xf>
    <xf numFmtId="166" fontId="22" fillId="12" borderId="5" applyAlignment="1" pivotButton="0" quotePrefix="0" xfId="1">
      <alignment vertical="center" wrapText="1"/>
    </xf>
  </cellXfs>
  <cellStyles count="3">
    <cellStyle name="Normal" xfId="0" builtinId="0"/>
    <cellStyle name="Currency" xfId="1" builtinId="4"/>
    <cellStyle name="Percent" xfId="2" builtinId="5"/>
  </cellStyles>
  <dxfs count="72">
    <dxf>
      <font>
        <name val="Calibri"/>
        <b val="1"/>
        <color rgb="FF375623"/>
        <sz val="9"/>
      </font>
      <fill>
        <patternFill patternType="solid">
          <fgColor rgb="FFF0FFF0"/>
        </patternFill>
      </fill>
    </dxf>
    <dxf>
      <font>
        <name val="Calibri"/>
        <b val="1"/>
        <color rgb="FF7F6000"/>
        <sz val="9"/>
      </font>
      <fill>
        <patternFill patternType="solid">
          <fgColor rgb="FFFFF2CC"/>
        </patternFill>
      </fill>
    </dxf>
    <dxf>
      <font>
        <name val="Calibri"/>
        <b val="1"/>
        <color rgb="FF7F6000"/>
        <sz val="9"/>
      </font>
      <fill>
        <patternFill patternType="solid">
          <fgColor rgb="FFFFF2CC"/>
        </patternFill>
      </fill>
    </dxf>
    <dxf>
      <font>
        <name val="Calibri"/>
        <b val="1"/>
        <color rgb="FF843C0C"/>
        <sz val="9"/>
      </font>
      <fill>
        <patternFill patternType="solid">
          <fgColor rgb="FFFCE4D6"/>
        </patternFill>
      </fill>
    </dxf>
    <dxf>
      <font>
        <name val="Calibri"/>
        <b val="1"/>
        <color rgb="FF375623"/>
        <sz val="9"/>
      </font>
      <fill>
        <patternFill patternType="solid">
          <fgColor rgb="FFF0FFF0"/>
        </patternFill>
      </fill>
    </dxf>
    <dxf>
      <font>
        <name val="Calibri"/>
        <b val="1"/>
        <color rgb="FF1F3864"/>
        <sz val="9"/>
      </font>
      <fill>
        <patternFill patternType="solid">
          <fgColor rgb="FFBDD7EE"/>
        </patternFill>
      </fill>
    </dxf>
    <dxf>
      <font>
        <name val="Calibri"/>
        <b val="1"/>
        <color rgb="FF7F6000"/>
        <sz val="9"/>
      </font>
      <fill>
        <patternFill patternType="solid">
          <fgColor rgb="FFFFF2CC"/>
        </patternFill>
      </fill>
    </dxf>
    <dxf>
      <font>
        <name val="Calibri"/>
        <b val="1"/>
        <color rgb="FF843C0C"/>
        <sz val="9"/>
      </font>
      <fill>
        <patternFill patternType="solid">
          <fgColor rgb="FFFCE4D6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375623"/>
        <sz val="9"/>
      </font>
      <fill>
        <patternFill patternType="solid">
          <fgColor rgb="FFF0FFF0"/>
        </patternFill>
      </fill>
    </dxf>
    <dxf>
      <font>
        <name val="Calibri"/>
        <b val="1"/>
        <color rgb="FF1F3864"/>
        <sz val="9"/>
      </font>
      <fill>
        <patternFill patternType="solid">
          <fgColor rgb="FFBDD7EE"/>
        </patternFill>
      </fill>
    </dxf>
    <dxf>
      <font>
        <name val="Calibri"/>
        <b val="1"/>
        <color rgb="FF7F6000"/>
        <sz val="9"/>
      </font>
      <fill>
        <patternFill patternType="solid">
          <fgColor rgb="FFFFF2CC"/>
        </patternFill>
      </fill>
    </dxf>
    <dxf>
      <font>
        <name val="Calibri"/>
        <b val="1"/>
        <color rgb="FF843C0C"/>
        <sz val="9"/>
      </font>
      <fill>
        <patternFill patternType="solid">
          <fgColor rgb="FFFCE4D6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375623"/>
        <sz val="9"/>
      </font>
      <fill>
        <patternFill patternType="solid">
          <fgColor rgb="FFF0FFF0"/>
        </patternFill>
      </fill>
    </dxf>
    <dxf>
      <font>
        <name val="Calibri"/>
        <b val="1"/>
        <color rgb="FF1F3864"/>
        <sz val="9"/>
      </font>
      <fill>
        <patternFill patternType="solid">
          <fgColor rgb="FFBDD7EE"/>
        </patternFill>
      </fill>
    </dxf>
    <dxf>
      <font>
        <name val="Calibri"/>
        <b val="1"/>
        <color rgb="FF7F6000"/>
        <sz val="9"/>
      </font>
      <fill>
        <patternFill patternType="solid">
          <fgColor rgb="FFFFF2CC"/>
        </patternFill>
      </fill>
    </dxf>
    <dxf>
      <font>
        <name val="Calibri"/>
        <b val="1"/>
        <color rgb="FF843C0C"/>
        <sz val="9"/>
      </font>
      <fill>
        <patternFill patternType="solid">
          <fgColor rgb="FFFCE4D6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375623"/>
        <sz val="9"/>
      </font>
      <fill>
        <patternFill patternType="solid">
          <fgColor rgb="FFF0FFF0"/>
        </patternFill>
      </fill>
    </dxf>
    <dxf>
      <font>
        <name val="Calibri"/>
        <b val="1"/>
        <color rgb="FF1F3864"/>
        <sz val="9"/>
      </font>
      <fill>
        <patternFill patternType="solid">
          <fgColor rgb="FFBDD7EE"/>
        </patternFill>
      </fill>
    </dxf>
    <dxf>
      <font>
        <name val="Calibri"/>
        <b val="1"/>
        <color rgb="FF7F6000"/>
        <sz val="9"/>
      </font>
      <fill>
        <patternFill patternType="solid">
          <fgColor rgb="FFFFF2CC"/>
        </patternFill>
      </fill>
    </dxf>
    <dxf>
      <font>
        <name val="Calibri"/>
        <b val="1"/>
        <color rgb="FF843C0C"/>
        <sz val="9"/>
      </font>
      <fill>
        <patternFill patternType="solid">
          <fgColor rgb="FFFCE4D6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375623"/>
        <sz val="9"/>
      </font>
      <fill>
        <patternFill patternType="solid">
          <fgColor rgb="FFF0FFF0"/>
        </patternFill>
      </fill>
    </dxf>
    <dxf>
      <font>
        <name val="Calibri"/>
        <b val="1"/>
        <color rgb="FF1F3864"/>
        <sz val="9"/>
      </font>
      <fill>
        <patternFill patternType="solid">
          <fgColor rgb="FFBDD7EE"/>
        </patternFill>
      </fill>
    </dxf>
    <dxf>
      <font>
        <name val="Calibri"/>
        <b val="1"/>
        <color rgb="FF7F6000"/>
        <sz val="9"/>
      </font>
      <fill>
        <patternFill patternType="solid">
          <fgColor rgb="FFFFF2CC"/>
        </patternFill>
      </fill>
    </dxf>
    <dxf>
      <font>
        <name val="Calibri"/>
        <b val="1"/>
        <color rgb="FF843C0C"/>
        <sz val="9"/>
      </font>
      <fill>
        <patternFill patternType="solid">
          <fgColor rgb="FFFCE4D6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font>
        <name val="Calibri"/>
        <b val="1"/>
        <color rgb="FF375623"/>
        <sz val="9"/>
      </font>
      <fill>
        <patternFill patternType="solid">
          <fgColor rgb="FFF0FFF0"/>
        </patternFill>
      </fill>
    </dxf>
    <dxf>
      <font>
        <name val="Calibri"/>
        <b val="1"/>
        <color rgb="FF7F6000"/>
        <sz val="9"/>
      </font>
      <fill>
        <patternFill patternType="solid">
          <fgColor rgb="FFFFF2CC"/>
        </patternFill>
      </fill>
    </dxf>
    <dxf>
      <font>
        <name val="Calibri"/>
        <b val="1"/>
        <color rgb="FF843C0C"/>
        <sz val="9"/>
      </font>
      <fill>
        <patternFill patternType="solid">
          <fgColor rgb="FFFCE4D6"/>
        </patternFill>
      </fill>
    </dxf>
    <dxf>
      <font>
        <name val="Calibri"/>
        <b val="1"/>
        <color rgb="FFC00000"/>
        <sz val="9"/>
      </font>
      <fill>
        <patternFill patternType="solid">
          <fgColor rgb="FFFFDDD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2F2F2"/>
        </patternFill>
      </fill>
      <alignment horizontal="left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indexed="64"/>
          <bgColor rgb="FFF2F2F2"/>
        </patternFill>
      </fill>
      <alignment horizontal="left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b val="1"/>
        <color rgb="00C00000"/>
        <sz val="9"/>
      </font>
      <fill>
        <patternFill patternType="solid">
          <fgColor rgb="00FFDDD8"/>
        </patternFill>
      </fill>
    </dxf>
    <dxf>
      <font>
        <name val="Calibri"/>
        <b val="1"/>
        <color rgb="00843C0C"/>
        <sz val="9"/>
      </font>
      <fill>
        <patternFill patternType="solid">
          <fgColor rgb="00FCE4D6"/>
        </patternFill>
      </fill>
    </dxf>
    <dxf>
      <font>
        <name val="Calibri"/>
        <b val="1"/>
        <color rgb="007F6000"/>
        <sz val="9"/>
      </font>
      <fill>
        <patternFill patternType="solid">
          <fgColor rgb="00FFF2CC"/>
        </patternFill>
      </fill>
    </dxf>
    <dxf>
      <font>
        <name val="Calibri"/>
        <b val="1"/>
        <color rgb="001F3864"/>
        <sz val="9"/>
      </font>
      <fill>
        <patternFill patternType="solid">
          <fgColor rgb="00BDD7EE"/>
        </patternFill>
      </fill>
    </dxf>
    <dxf>
      <font>
        <name val="Calibri"/>
        <b val="1"/>
        <color rgb="00375623"/>
        <sz val="9"/>
      </font>
      <fill>
        <patternFill patternType="solid">
          <fgColor rgb="00F0FFF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TblEventos" displayName="TblEventos" ref="A3:Z55" headerRowCount="1">
  <autoFilter ref="A3:Z55"/>
  <tableColumns count="26">
    <tableColumn id="1" name="ID"/>
    <tableColumn id="2" name="ID_Unico"/>
    <tableColumn id="3" name="Flag"/>
    <tableColumn id="4" name="Evento"/>
    <tableColumn id="5" name="Tipo"/>
    <tableColumn id="6" name="EM Original"/>
    <tableColumn id="7" name="Status Evento"/>
    <tableColumn id="8" name="Status EM"/>
    <tableColumn id="9" name="Ano"/>
    <tableColumn id="10" name="Trimestre"/>
    <tableColumn id="11" name="Data Início"/>
    <tableColumn id="12" name="Data Fim"/>
    <tableColumn id="13" name="BU"/>
    <tableColumn id="14" name="Produto"/>
    <tableColumn id="15" name="Solicitante"/>
    <tableColumn id="16" name="Cidade"/>
    <tableColumn id="17" name="Formato"/>
    <tableColumn id="18" name="Complexidade"/>
    <tableColumn id="19" name="Local"/>
    <tableColumn id="20" name="Agência"/>
    <tableColumn id="21" name="Hotel"/>
    <tableColumn id="22" name="Sociedade"/>
    <tableColumn id="23" name="Stand" dataDxfId="55"/>
    <tableColumn id="24" name="PSs Plan." dataDxfId="57"/>
    <tableColumn id="25" name="PSs Pres." dataDxfId="56"/>
    <tableColumn id="26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tividades" displayName="TblAtividades" ref="A3:I146" headerRowCount="1">
  <autoFilter ref="A3:I146"/>
  <sortState ref="A4:I146">
    <sortCondition ref="A4:A146"/>
    <sortCondition ref="B4:B146"/>
    <sortCondition ref="C4:C146"/>
  </sortState>
  <tableColumns count="9">
    <tableColumn id="1" name="ID"/>
    <tableColumn id="2" name="Evento"/>
    <tableColumn id="3" name="Etapa" dataDxfId="59"/>
    <tableColumn id="4" name="Atividade" dataDxfId="58"/>
    <tableColumn id="5" name="Responsável"/>
    <tableColumn id="6" name="Prazo"/>
    <tableColumn id="7" name="% Conclusão"/>
    <tableColumn id="8" name="Status"/>
    <tableColumn id="9" name="Observaçõe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blFinanceiro" displayName="TblFinanceiro" ref="A3:N32" headerRowCount="1">
  <autoFilter ref="A3:N32"/>
  <tableColumns count="14">
    <tableColumn id="1" name="ID"/>
    <tableColumn id="2" name="Evento"/>
    <tableColumn id="3" name="EM (Padrão)"/>
    <tableColumn id="4" name="FY"/>
    <tableColumn id="5" name="Fornecedor"/>
    <tableColumn id="6" name="Tipo de Custo"/>
    <tableColumn id="7" name="PO/WF" dataDxfId="66"/>
    <tableColumn id="8" name="Orç. Previsto" dataDxfId="65"/>
    <tableColumn id="9" name="Real. FY2025" dataDxfId="64"/>
    <tableColumn id="10" name="Real. FY2026" dataDxfId="63"/>
    <tableColumn id="11" name="Total Evento" dataDxfId="62"/>
    <tableColumn id="12" name="Status Pag." dataDxfId="61"/>
    <tableColumn id="13" name="Status NF/ND" dataDxfId="60"/>
    <tableColumn id="14" name="Observaçõe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blFornecedores" displayName="TblFornecedores" ref="A3:J20" headerRowCount="1">
  <autoFilter ref="A3:J20"/>
  <tableColumns count="10">
    <tableColumn id="1" name="ID"/>
    <tableColumn id="2" name="Fornecedor"/>
    <tableColumn id="3" name="Categoria"/>
    <tableColumn id="4" name="Serviços"/>
    <tableColumn id="5" name="UF Sede"/>
    <tableColumn id="6" name="Status Homol."/>
    <tableColumn id="7" name="CNPJ"/>
    <tableColumn id="8" name="Contato"/>
    <tableColumn id="9" name="E-mail"/>
    <tableColumn id="10" name="Observaçõ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Participantes" displayName="TblParticipantes" ref="A3:L18" headerRowCount="1">
  <autoFilter ref="A3:L18"/>
  <tableColumns count="12">
    <tableColumn id="1" name="ID"/>
    <tableColumn id="2" name="Nome"/>
    <tableColumn id="3" name="Cargo/Regional"/>
    <tableColumn id="4" name="Tipo"/>
    <tableColumn id="5" name="Especialidade"/>
    <tableColumn id="6" name="CRM"/>
    <tableColumn id="7" name="UF"/>
    <tableColumn id="8" name="Evento Ref."/>
    <tableColumn id="9" name="Hotel Bloco"/>
    <tableColumn id="10" name="Aéreo R$"/>
    <tableColumn id="11" name="Hospedagem R$"/>
    <tableColumn id="12" name="Observações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id="6" name="PQ_Dashboard" displayName="PQ_Dashboard" ref="A1:C13" tableType="queryTable" headerRowCount="1" totalsRowShown="0">
  <autoFilter ref="A1:C13"/>
  <tableColumns count="3">
    <tableColumn id="1" uniqueName="1" name="Métrica" queryTableFieldId="1" dataDxfId="54"/>
    <tableColumn id="2" uniqueName="2" name="Valor" queryTableFieldId="2" dataDxfId="53" dataCellStyle="Currency"/>
    <tableColumn id="3" uniqueName="3" name="Categoria" queryTableFieldId="3" dataDxfId="5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PQ_FinanceiroPendente" displayName="PQ_FinanceiroPendente" ref="A1:Q3" tableType="queryTable" headerRowCount="1" totalsRowShown="0">
  <autoFilter ref="A1:Q3"/>
  <tableColumns count="17">
    <tableColumn id="1" uniqueName="1" name="ID" queryTableFieldId="1"/>
    <tableColumn id="2" uniqueName="2" name="Evento" queryTableFieldId="2"/>
    <tableColumn id="3" uniqueName="3" name="EM (Padrão)" queryTableFieldId="3"/>
    <tableColumn id="4" uniqueName="4" name="FY" queryTableFieldId="4"/>
    <tableColumn id="5" uniqueName="5" name="Fornecedor" queryTableFieldId="5"/>
    <tableColumn id="6" uniqueName="6" name="Tipo de Custo" queryTableFieldId="6"/>
    <tableColumn id="7" uniqueName="7" name="PO/WF" queryTableFieldId="7"/>
    <tableColumn id="8" uniqueName="8" name="Orç. Previsto" queryTableFieldId="8"/>
    <tableColumn id="9" uniqueName="9" name="Real. FY2025" queryTableFieldId="9"/>
    <tableColumn id="10" uniqueName="10" name="Real. FY2026" queryTableFieldId="10"/>
    <tableColumn id="11" uniqueName="11" name="Total Evento" queryTableFieldId="11"/>
    <tableColumn id="12" uniqueName="12" name="Status Pag." queryTableFieldId="12" dataDxfId="51"/>
    <tableColumn id="13" uniqueName="13" name="Status NF/ND" queryTableFieldId="13" dataDxfId="50"/>
    <tableColumn id="14" uniqueName="14" name="Observações" queryTableFieldId="14"/>
    <tableColumn id="15" uniqueName="15" name="Desvio R$" queryTableFieldId="15"/>
    <tableColumn id="16" uniqueName="16" name="Desvio %" queryTableFieldId="16"/>
    <tableColumn id="17" uniqueName="17" name="Prioridade" queryTableFieldId="17" dataDxfId="4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PQ_AtividadesPendentes" displayName="PQ_AtividadesPendentes" ref="A1:K67" tableType="queryTable" headerRowCount="1" totalsRowShown="0">
  <autoFilter ref="A1:K67"/>
  <tableColumns count="11">
    <tableColumn id="1" uniqueName="1" name="ID" queryTableFieldId="1"/>
    <tableColumn id="2" uniqueName="2" name="Evento" queryTableFieldId="2"/>
    <tableColumn id="3" uniqueName="3" name="Etapa" queryTableFieldId="3"/>
    <tableColumn id="4" uniqueName="4" name="Atividade" queryTableFieldId="4"/>
    <tableColumn id="5" uniqueName="5" name="Responsável" queryTableFieldId="5" dataDxfId="48"/>
    <tableColumn id="6" uniqueName="6" name="Prazo" queryTableFieldId="6" dataDxfId="47"/>
    <tableColumn id="7" uniqueName="7" name="% Conclusão" queryTableFieldId="7"/>
    <tableColumn id="8" uniqueName="8" name="Status" queryTableFieldId="8" dataDxfId="46"/>
    <tableColumn id="9" uniqueName="9" name="Observações" queryTableFieldId="9"/>
    <tableColumn id="10" uniqueName="10" name="Dias até Prazo" queryTableFieldId="10"/>
    <tableColumn id="11" uniqueName="11" name="Criticidade" queryTableFieldId="11" dataDxfId="4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PQ_EventosAtivos" displayName="PQ_EventosAtivos" ref="A1:AB15" tableType="queryTable" headerRowCount="1" totalsRowShown="0">
  <autoFilter ref="A1:AB15"/>
  <tableColumns count="28">
    <tableColumn id="1" uniqueName="1" name="ID" queryTableFieldId="1"/>
    <tableColumn id="2" uniqueName="2" name="ID_Unico" queryTableFieldId="2"/>
    <tableColumn id="3" uniqueName="3" name="Flag" queryTableFieldId="3"/>
    <tableColumn id="4" uniqueName="4" name="Evento" queryTableFieldId="4"/>
    <tableColumn id="5" uniqueName="5" name="Tipo" queryTableFieldId="5" dataDxfId="44"/>
    <tableColumn id="6" uniqueName="6" name="EM Original" queryTableFieldId="6"/>
    <tableColumn id="7" uniqueName="7" name="Status Evento" queryTableFieldId="7" dataDxfId="43"/>
    <tableColumn id="8" uniqueName="8" name="Status EM" queryTableFieldId="8"/>
    <tableColumn id="9" uniqueName="9" name="Ano" queryTableFieldId="9"/>
    <tableColumn id="10" uniqueName="10" name="Trimestre" queryTableFieldId="10"/>
    <tableColumn id="11" uniqueName="11" name="Data Início" queryTableFieldId="11" dataDxfId="42"/>
    <tableColumn id="12" uniqueName="12" name="Data Fim" queryTableFieldId="12" dataDxfId="41"/>
    <tableColumn id="13" uniqueName="13" name="BU" queryTableFieldId="13" dataDxfId="40"/>
    <tableColumn id="14" uniqueName="14" name="Produto" queryTableFieldId="14"/>
    <tableColumn id="15" uniqueName="15" name="Solicitante" queryTableFieldId="15"/>
    <tableColumn id="16" uniqueName="16" name="Cidade" queryTableFieldId="16" dataDxfId="39"/>
    <tableColumn id="17" uniqueName="17" name="Formato" queryTableFieldId="17"/>
    <tableColumn id="18" uniqueName="18" name="Complexidade" queryTableFieldId="18"/>
    <tableColumn id="19" uniqueName="19" name="Local" queryTableFieldId="19"/>
    <tableColumn id="20" uniqueName="20" name="Agência" queryTableFieldId="20"/>
    <tableColumn id="21" uniqueName="21" name="Hotel" queryTableFieldId="21"/>
    <tableColumn id="22" uniqueName="22" name="Sociedade" queryTableFieldId="22"/>
    <tableColumn id="23" uniqueName="23" name="Stand" queryTableFieldId="23"/>
    <tableColumn id="24" uniqueName="24" name="PSs Plan." queryTableFieldId="24"/>
    <tableColumn id="25" uniqueName="25" name="PSs Pres." queryTableFieldId="25"/>
    <tableColumn id="26" uniqueName="26" name="Observações" queryTableFieldId="26"/>
    <tableColumn id="27" uniqueName="27" name="Dias até Evento" queryTableFieldId="27"/>
    <tableColumn id="28" uniqueName="28" name="Urgência" queryTableFieldId="28" dataDxfId="38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id="10" name="TblParticipacao" displayName="TblParticipacao" ref="A3:M6" headerRowCount="1">
  <autoFilter ref="A3:M6"/>
  <tableColumns count="13">
    <tableColumn id="1" name="Evento"/>
    <tableColumn id="2" name="Participante"/>
    <tableColumn id="3" name="Cargo"/>
    <tableColumn id="4" name="Regional"/>
    <tableColumn id="5" name="Cidade Orig."/>
    <tableColumn id="6" name="Data Ida"/>
    <tableColumn id="7" name="Data Volta"/>
    <tableColumn id="8" name="Aéreo R$"/>
    <tableColumn id="9" name="Hospedagem R$"/>
    <tableColumn id="10" name="Refeição R$"/>
    <tableColumn id="11" name="Deslocamento R$"/>
    <tableColumn id="12" name="Total R$"/>
    <tableColumn id="13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2:H14"/>
  <sheetViews>
    <sheetView showGridLines="0" workbookViewId="0">
      <selection activeCell="G10" sqref="G10"/>
    </sheetView>
  </sheetViews>
  <sheetFormatPr baseColWidth="8" defaultRowHeight="15"/>
  <cols>
    <col width="2" customWidth="1" style="100" min="1" max="1"/>
    <col width="30" customWidth="1" style="100" min="2" max="2"/>
    <col width="28" customWidth="1" style="100" min="3" max="4"/>
    <col width="22" customWidth="1" style="100" min="5" max="7"/>
    <col width="8" customWidth="1" style="100" min="8" max="8"/>
  </cols>
  <sheetData>
    <row r="1" ht="9.949999999999999" customHeight="1" s="100"/>
    <row r="2" ht="24" customHeight="1" s="100">
      <c r="B2" s="50" t="inlineStr">
        <is>
          <t>GESTÃO DE EVENTOS FARMACÊUTICOS</t>
        </is>
      </c>
    </row>
    <row r="3" ht="24" customHeight="1" s="100"/>
    <row r="4" ht="24" customHeight="1" s="100"/>
    <row r="5" ht="24" customHeight="1" s="100">
      <c r="B5" s="98" t="inlineStr">
        <is>
          <t>Neurociências &amp; Acesso  ·  NEC  ·  Takeda</t>
        </is>
      </c>
    </row>
    <row r="6" ht="24" customHeight="1" s="100">
      <c r="B6" s="49" t="inlineStr">
        <is>
          <t>Versão 4  ·  Fase 3 Concluída  ·  22/06/2026</t>
        </is>
      </c>
    </row>
    <row r="7" ht="24" customHeight="1" s="100"/>
    <row r="9" ht="54.95" customHeight="1" s="100">
      <c r="B9" s="1" t="inlineStr">
        <is>
          <t>📋 Banco de
Eventos</t>
        </is>
      </c>
      <c r="C9" s="2" t="inlineStr">
        <is>
          <t>✅ Banco de
Atividades</t>
        </is>
      </c>
      <c r="D9" s="3" t="inlineStr">
        <is>
          <t>💰 Banco
Financeiro</t>
        </is>
      </c>
      <c r="E9" s="4" t="inlineStr">
        <is>
          <t>🏢 Banco de
Fornecedores</t>
        </is>
      </c>
      <c r="F9" s="5" t="inlineStr">
        <is>
          <t>👥 Participantes</t>
        </is>
      </c>
      <c r="G9" s="6" t="inlineStr">
        <is>
          <t>⚡ Alertas
Visuais</t>
        </is>
      </c>
    </row>
    <row r="10" ht="21.95" customHeight="1" s="100">
      <c r="B10" s="7" t="inlineStr">
        <is>
          <t>52 eventos</t>
        </is>
      </c>
      <c r="C10" s="7" t="inlineStr">
        <is>
          <t>130 atividades + Prazo</t>
        </is>
      </c>
      <c r="D10" s="7" t="inlineStr">
        <is>
          <t>29 lançamentos</t>
        </is>
      </c>
      <c r="E10" s="7" t="inlineStr">
        <is>
          <t>17 cadastros</t>
        </is>
      </c>
      <c r="F10" s="7" t="inlineStr">
        <is>
          <t>25 pessoas</t>
        </is>
      </c>
      <c r="G10" s="7" t="inlineStr">
        <is>
          <t>Tempo real</t>
        </is>
      </c>
    </row>
    <row r="12" ht="32.25" customHeight="1" s="100">
      <c r="B12" s="97" t="inlineStr">
        <is>
          <t xml:space="preserve">  Budget Total: R$ 3,232,995  ·  A Realizar: 14  ·  Pendentes: 78  ·  ⚡ Fase 3 - Alertas Visuais Ativos  ·  Scripts M365 prontos</t>
        </is>
      </c>
    </row>
    <row r="14" ht="15.95" customHeight="1" s="100">
      <c r="B14" s="47" t="inlineStr">
        <is>
          <t xml:space="preserve">  ⚠️  Abas com CF ativa: DB_EVENTOS, DB_ATIVIDADES, DB_FINANCEIRO  ·  Office Script: automation/office_script_nec.ts  ·  Power Query: automation/power_query_nec.pq</t>
        </is>
      </c>
    </row>
  </sheetData>
  <mergeCells count="5">
    <mergeCell ref="B14:H14"/>
    <mergeCell ref="B6:H7"/>
    <mergeCell ref="B12:H12"/>
    <mergeCell ref="B2:H4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Z5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C25" sqref="C25"/>
    </sheetView>
  </sheetViews>
  <sheetFormatPr baseColWidth="8" defaultRowHeight="15"/>
  <cols>
    <col width="5" customWidth="1" style="100" min="1" max="1"/>
    <col width="16" customWidth="1" style="100" min="2" max="2"/>
    <col width="10" customWidth="1" style="100" min="3" max="3"/>
    <col width="56.140625" bestFit="1" customWidth="1" style="100" min="4" max="4"/>
    <col width="14.42578125" customWidth="1" style="100" min="5" max="5"/>
    <col width="16" customWidth="1" style="100" min="6" max="6"/>
    <col width="14" customWidth="1" style="100" min="7" max="8"/>
    <col width="6" customWidth="1" style="100" min="9" max="9"/>
    <col width="10" customWidth="1" style="100" min="10" max="10"/>
    <col width="12" customWidth="1" style="100" min="11" max="12"/>
    <col width="16" customWidth="1" style="100" min="13" max="13"/>
    <col width="18" customWidth="1" style="100" min="14" max="15"/>
    <col width="16" customWidth="1" style="100" min="16" max="16"/>
    <col width="12" customWidth="1" style="100" min="17" max="18"/>
    <col width="41" bestFit="1" customWidth="1" style="100" min="19" max="19"/>
    <col width="13.7109375" customWidth="1" style="100" min="20" max="21"/>
    <col width="41.28515625" bestFit="1" customWidth="1" style="100" min="22" max="22"/>
    <col width="10" customWidth="1" style="101" min="23" max="23"/>
    <col width="9" customWidth="1" style="101" min="24" max="25"/>
    <col width="78.5703125" bestFit="1" customWidth="1" style="100" min="26" max="26"/>
  </cols>
  <sheetData>
    <row r="1" ht="27.95" customHeight="1" s="100">
      <c r="A1" s="51" t="inlineStr">
        <is>
          <t>📋 BANCO DE DADOS CENTRAL DE EVENTOS  ·  v4  ·  Alertas Visuais Ativos</t>
        </is>
      </c>
    </row>
    <row r="2" ht="15.95" customHeight="1" s="100">
      <c r="A2" s="82" t="inlineStr">
        <is>
          <t>🔴 Linha vermelha = evento vencido (a Realizar + data passada)  ·  🟠 Laranja = próximos 7 dias  ·  🟡 Amarelo = próximos 30 dias</t>
        </is>
      </c>
    </row>
    <row r="3" ht="32.1" customHeight="1" s="100">
      <c r="A3" s="8" t="inlineStr">
        <is>
          <t>ID</t>
        </is>
      </c>
      <c r="B3" s="8" t="inlineStr">
        <is>
          <t>ID_Unico</t>
        </is>
      </c>
      <c r="C3" s="8" t="inlineStr">
        <is>
          <t>Flag</t>
        </is>
      </c>
      <c r="D3" s="8" t="inlineStr">
        <is>
          <t>Evento</t>
        </is>
      </c>
      <c r="E3" s="8" t="inlineStr">
        <is>
          <t>Tipo</t>
        </is>
      </c>
      <c r="F3" s="8" t="inlineStr">
        <is>
          <t>EM Original</t>
        </is>
      </c>
      <c r="G3" s="8" t="inlineStr">
        <is>
          <t>Status Evento</t>
        </is>
      </c>
      <c r="H3" s="8" t="inlineStr">
        <is>
          <t>Status EM</t>
        </is>
      </c>
      <c r="I3" s="8" t="inlineStr">
        <is>
          <t>Ano</t>
        </is>
      </c>
      <c r="J3" s="8" t="inlineStr">
        <is>
          <t>Trimestre</t>
        </is>
      </c>
      <c r="K3" s="8" t="inlineStr">
        <is>
          <t>Data Início</t>
        </is>
      </c>
      <c r="L3" s="8" t="inlineStr">
        <is>
          <t>Data Fim</t>
        </is>
      </c>
      <c r="M3" s="8" t="inlineStr">
        <is>
          <t>BU</t>
        </is>
      </c>
      <c r="N3" s="8" t="inlineStr">
        <is>
          <t>Produto</t>
        </is>
      </c>
      <c r="O3" s="8" t="inlineStr">
        <is>
          <t>Solicitante</t>
        </is>
      </c>
      <c r="P3" s="8" t="inlineStr">
        <is>
          <t>Cidade</t>
        </is>
      </c>
      <c r="Q3" s="8" t="inlineStr">
        <is>
          <t>Formato</t>
        </is>
      </c>
      <c r="R3" s="8" t="inlineStr">
        <is>
          <t>Complexidade</t>
        </is>
      </c>
      <c r="S3" s="8" t="inlineStr">
        <is>
          <t>Local</t>
        </is>
      </c>
      <c r="T3" s="8" t="inlineStr">
        <is>
          <t>Agência</t>
        </is>
      </c>
      <c r="U3" s="8" t="inlineStr">
        <is>
          <t>Hotel</t>
        </is>
      </c>
      <c r="V3" s="8" t="inlineStr">
        <is>
          <t>Sociedade</t>
        </is>
      </c>
      <c r="W3" s="8" t="inlineStr">
        <is>
          <t>Stand</t>
        </is>
      </c>
      <c r="X3" s="8" t="inlineStr">
        <is>
          <t>PSs Plan.</t>
        </is>
      </c>
      <c r="Y3" s="8" t="inlineStr">
        <is>
          <t>PSs Pres.</t>
        </is>
      </c>
      <c r="Z3" s="8" t="inlineStr">
        <is>
          <t>Observações</t>
        </is>
      </c>
    </row>
    <row r="4" ht="20.25" customHeight="1" s="100">
      <c r="A4" s="76" t="n">
        <v>1</v>
      </c>
      <c r="B4" s="76" t="inlineStr">
        <is>
          <t>EM-031688</t>
        </is>
      </c>
      <c r="C4" s="76" t="n"/>
      <c r="D4" s="76" t="inlineStr">
        <is>
          <t>7º CURSO DE NEFROPATOLOGIA</t>
        </is>
      </c>
      <c r="E4" s="76" t="inlineStr">
        <is>
          <t>TOME/Advisory</t>
        </is>
      </c>
      <c r="F4" s="76" t="inlineStr">
        <is>
          <t>EM-031688</t>
        </is>
      </c>
      <c r="G4" s="10" t="inlineStr">
        <is>
          <t>Realizado</t>
        </is>
      </c>
      <c r="H4" s="11" t="inlineStr">
        <is>
          <t>Encerrada</t>
        </is>
      </c>
      <c r="I4" s="76" t="inlineStr">
        <is>
          <t>2025</t>
        </is>
      </c>
      <c r="J4" s="76" t="inlineStr">
        <is>
          <t>Q1 2025</t>
        </is>
      </c>
      <c r="K4" s="12" t="n">
        <v>45687</v>
      </c>
      <c r="L4" s="12" t="n">
        <v>45689</v>
      </c>
      <c r="M4" s="76" t="inlineStr">
        <is>
          <t>NEC</t>
        </is>
      </c>
      <c r="N4" s="76" t="inlineStr">
        <is>
          <t>Replagal</t>
        </is>
      </c>
      <c r="O4" s="76" t="inlineStr">
        <is>
          <t>Alberto Lisboa</t>
        </is>
      </c>
      <c r="P4" s="76" t="inlineStr">
        <is>
          <t>Belo Horizonte</t>
        </is>
      </c>
      <c r="Q4" s="76" t="inlineStr">
        <is>
          <t>Presencial</t>
        </is>
      </c>
      <c r="R4" s="76" t="n"/>
      <c r="S4" s="76" t="n"/>
      <c r="T4" s="76" t="n"/>
      <c r="U4" s="76" t="n"/>
      <c r="V4" s="76" t="n"/>
      <c r="W4" s="11" t="inlineStr">
        <is>
          <t>N/A</t>
        </is>
      </c>
      <c r="X4" s="11" t="n"/>
      <c r="Y4" s="11" t="n"/>
      <c r="Z4" s="76" t="n"/>
    </row>
    <row r="5" ht="20.25" customHeight="1" s="100">
      <c r="A5" s="77" t="n">
        <v>2</v>
      </c>
      <c r="B5" s="77" t="inlineStr">
        <is>
          <t>EM-031971</t>
        </is>
      </c>
      <c r="C5" s="77" t="n"/>
      <c r="D5" s="77" t="inlineStr">
        <is>
          <t>FÓRUM TAKEDA FOLHA DE SÃO PAULO</t>
        </is>
      </c>
      <c r="E5" s="77" t="inlineStr">
        <is>
          <t>TOME/Advisory</t>
        </is>
      </c>
      <c r="F5" s="77" t="inlineStr">
        <is>
          <t>EM-031971</t>
        </is>
      </c>
      <c r="G5" s="10" t="inlineStr">
        <is>
          <t>Realizado</t>
        </is>
      </c>
      <c r="H5" s="14" t="inlineStr">
        <is>
          <t>Sem ação Eventos</t>
        </is>
      </c>
      <c r="I5" s="77" t="inlineStr">
        <is>
          <t>2025</t>
        </is>
      </c>
      <c r="J5" s="77" t="inlineStr">
        <is>
          <t>Q1 2025</t>
        </is>
      </c>
      <c r="K5" s="15" t="n">
        <v>45707</v>
      </c>
      <c r="L5" s="15" t="n">
        <v>45707</v>
      </c>
      <c r="M5" s="77" t="inlineStr">
        <is>
          <t>Comunicação/Vacinas</t>
        </is>
      </c>
      <c r="N5" s="77" t="inlineStr">
        <is>
          <t>Qdenga</t>
        </is>
      </c>
      <c r="O5" s="77" t="inlineStr">
        <is>
          <t>Bruna Silva</t>
        </is>
      </c>
      <c r="P5" s="77" t="inlineStr">
        <is>
          <t>São Paulo</t>
        </is>
      </c>
      <c r="Q5" s="77" t="inlineStr">
        <is>
          <t>Presencial</t>
        </is>
      </c>
      <c r="R5" s="77" t="n"/>
      <c r="S5" s="77" t="inlineStr">
        <is>
          <t>Museu da Imagem e do Som (MIS)</t>
        </is>
      </c>
      <c r="T5" s="77" t="n"/>
      <c r="U5" s="77" t="n"/>
      <c r="V5" s="77" t="n"/>
      <c r="W5" s="14" t="inlineStr">
        <is>
          <t>N/A</t>
        </is>
      </c>
      <c r="X5" s="14" t="n">
        <v>100</v>
      </c>
      <c r="Y5" s="14" t="n"/>
      <c r="Z5" s="77" t="inlineStr">
        <is>
          <t>EM sem ação da área de Eventos</t>
        </is>
      </c>
    </row>
    <row r="6" ht="20.25" customHeight="1" s="100">
      <c r="A6" s="76" t="n">
        <v>3</v>
      </c>
      <c r="B6" s="76" t="inlineStr">
        <is>
          <t>EM-032769</t>
        </is>
      </c>
      <c r="C6" s="76" t="n"/>
      <c r="D6" s="76" t="inlineStr">
        <is>
          <t>ENCONTRO NACIONAL DE TRANSTORNOS ALIMENTARES</t>
        </is>
      </c>
      <c r="E6" s="76" t="inlineStr">
        <is>
          <t>Cota</t>
        </is>
      </c>
      <c r="F6" s="76" t="inlineStr">
        <is>
          <t>EM-032769</t>
        </is>
      </c>
      <c r="G6" s="10" t="inlineStr">
        <is>
          <t>Realizado</t>
        </is>
      </c>
      <c r="H6" s="11" t="inlineStr">
        <is>
          <t>Encerrada</t>
        </is>
      </c>
      <c r="I6" s="76" t="inlineStr">
        <is>
          <t>2025</t>
        </is>
      </c>
      <c r="J6" s="76" t="inlineStr">
        <is>
          <t>Q2 2025</t>
        </is>
      </c>
      <c r="K6" s="12" t="n">
        <v>45752</v>
      </c>
      <c r="L6" s="12" t="n">
        <v>45752</v>
      </c>
      <c r="M6" s="76" t="inlineStr">
        <is>
          <t>Neurociências</t>
        </is>
      </c>
      <c r="N6" s="76" t="inlineStr">
        <is>
          <t>Juneve</t>
        </is>
      </c>
      <c r="O6" s="76" t="inlineStr">
        <is>
          <t>Paula Almeida</t>
        </is>
      </c>
      <c r="P6" s="76" t="inlineStr">
        <is>
          <t>São Paulo</t>
        </is>
      </c>
      <c r="Q6" s="76" t="inlineStr">
        <is>
          <t>Presencial</t>
        </is>
      </c>
      <c r="R6" s="76" t="n"/>
      <c r="S6" s="76" t="inlineStr">
        <is>
          <t>Itain</t>
        </is>
      </c>
      <c r="T6" s="76" t="inlineStr">
        <is>
          <t>-</t>
        </is>
      </c>
      <c r="U6" s="76" t="inlineStr">
        <is>
          <t>-</t>
        </is>
      </c>
      <c r="V6" s="76" t="inlineStr">
        <is>
          <t>X</t>
        </is>
      </c>
      <c r="W6" s="11" t="inlineStr">
        <is>
          <t>N/A</t>
        </is>
      </c>
      <c r="X6" s="11" t="n"/>
      <c r="Y6" s="11" t="n"/>
      <c r="Z6" s="76" t="n"/>
    </row>
    <row r="7" ht="20.25" customHeight="1" s="100">
      <c r="A7" s="77" t="n">
        <v>4</v>
      </c>
      <c r="B7" s="77" t="inlineStr">
        <is>
          <t>EM-033394</t>
        </is>
      </c>
      <c r="C7" s="77" t="n"/>
      <c r="D7" s="77" t="inlineStr">
        <is>
          <t>ATS_2025</t>
        </is>
      </c>
      <c r="E7" s="77" t="inlineStr">
        <is>
          <t>Apoio</t>
        </is>
      </c>
      <c r="F7" s="77" t="inlineStr">
        <is>
          <t>EM-033394</t>
        </is>
      </c>
      <c r="G7" s="10" t="inlineStr">
        <is>
          <t>Realizado</t>
        </is>
      </c>
      <c r="H7" s="14" t="inlineStr">
        <is>
          <t>aprovada</t>
        </is>
      </c>
      <c r="I7" s="77" t="inlineStr">
        <is>
          <t>2025</t>
        </is>
      </c>
      <c r="J7" s="77" t="inlineStr">
        <is>
          <t>Q2 2025</t>
        </is>
      </c>
      <c r="K7" s="15" t="n">
        <v>45773</v>
      </c>
      <c r="L7" s="15" t="n">
        <v>45773</v>
      </c>
      <c r="M7" s="77" t="inlineStr">
        <is>
          <t>Acesso</t>
        </is>
      </c>
      <c r="N7" s="77" t="inlineStr">
        <is>
          <t>Livtencity</t>
        </is>
      </c>
      <c r="O7" s="77" t="inlineStr">
        <is>
          <t>Janaína Silva</t>
        </is>
      </c>
      <c r="P7" s="77" t="inlineStr">
        <is>
          <t>São Paulo</t>
        </is>
      </c>
      <c r="Q7" s="77" t="inlineStr">
        <is>
          <t>Presencial</t>
        </is>
      </c>
      <c r="R7" s="77" t="n"/>
      <c r="S7" s="77" t="inlineStr">
        <is>
          <t>BlueTree Morumbi</t>
        </is>
      </c>
      <c r="T7" s="77" t="inlineStr">
        <is>
          <t>OPUS</t>
        </is>
      </c>
      <c r="U7" s="77" t="n"/>
      <c r="V7" s="77" t="n"/>
      <c r="W7" s="14" t="n"/>
      <c r="X7" s="14" t="n">
        <v>1</v>
      </c>
      <c r="Y7" s="14" t="n">
        <v>1</v>
      </c>
      <c r="Z7" s="77" t="n"/>
    </row>
    <row r="8" ht="20.25" customHeight="1" s="100">
      <c r="A8" s="76" t="n">
        <v>5</v>
      </c>
      <c r="B8" s="76" t="inlineStr">
        <is>
          <t>EM-033244</t>
        </is>
      </c>
      <c r="C8" s="76" t="n"/>
      <c r="D8" s="76" t="inlineStr">
        <is>
          <t>ROUND TABLE (VACINAS-CONASEMS)</t>
        </is>
      </c>
      <c r="E8" s="76" t="inlineStr">
        <is>
          <t>TOME/Advisory</t>
        </is>
      </c>
      <c r="F8" s="76" t="inlineStr">
        <is>
          <t>EM-033244</t>
        </is>
      </c>
      <c r="G8" s="10" t="inlineStr">
        <is>
          <t>Realizado</t>
        </is>
      </c>
      <c r="H8" s="11" t="inlineStr">
        <is>
          <t>Encerrada</t>
        </is>
      </c>
      <c r="I8" s="76" t="inlineStr">
        <is>
          <t>2025</t>
        </is>
      </c>
      <c r="J8" s="76" t="inlineStr">
        <is>
          <t>Q2 2025</t>
        </is>
      </c>
      <c r="K8" s="12" t="n">
        <v>45823</v>
      </c>
      <c r="L8" s="12" t="n">
        <v>45823</v>
      </c>
      <c r="M8" s="76" t="inlineStr">
        <is>
          <t>Acesso</t>
        </is>
      </c>
      <c r="N8" s="77" t="inlineStr">
        <is>
          <t>Qdenga</t>
        </is>
      </c>
      <c r="O8" s="76" t="inlineStr">
        <is>
          <t>Paulo Souza</t>
        </is>
      </c>
      <c r="P8" s="76" t="inlineStr">
        <is>
          <t>Brasília</t>
        </is>
      </c>
      <c r="Q8" s="76" t="inlineStr">
        <is>
          <t>Presencial</t>
        </is>
      </c>
      <c r="R8" s="76" t="n"/>
      <c r="S8" s="76" t="n"/>
      <c r="T8" s="76" t="n"/>
      <c r="U8" s="76" t="n"/>
      <c r="V8" s="76" t="n"/>
      <c r="W8" s="11" t="inlineStr">
        <is>
          <t>N/A</t>
        </is>
      </c>
      <c r="X8" s="11" t="n"/>
      <c r="Y8" s="11" t="n"/>
      <c r="Z8" s="76" t="n"/>
    </row>
    <row r="9" ht="20.25" customHeight="1" s="100">
      <c r="A9" s="77" t="n">
        <v>6</v>
      </c>
      <c r="B9" s="77" t="inlineStr">
        <is>
          <t>EM-028812</t>
        </is>
      </c>
      <c r="C9" s="77" t="n"/>
      <c r="D9" s="77" t="inlineStr">
        <is>
          <t>CONASEMS 2025</t>
        </is>
      </c>
      <c r="E9" s="77" t="inlineStr">
        <is>
          <t>TOME/Advisory</t>
        </is>
      </c>
      <c r="F9" s="77" t="inlineStr">
        <is>
          <t>EM-028812</t>
        </is>
      </c>
      <c r="G9" s="10" t="inlineStr">
        <is>
          <t>Realizado</t>
        </is>
      </c>
      <c r="H9" s="14" t="inlineStr">
        <is>
          <t>Encerrada</t>
        </is>
      </c>
      <c r="I9" s="77" t="inlineStr">
        <is>
          <t>2025</t>
        </is>
      </c>
      <c r="J9" s="77" t="inlineStr">
        <is>
          <t>Q2 2025</t>
        </is>
      </c>
      <c r="K9" s="15" t="n">
        <v>45823</v>
      </c>
      <c r="L9" s="15" t="n">
        <v>45826</v>
      </c>
      <c r="M9" s="77" t="inlineStr">
        <is>
          <t>Acesso</t>
        </is>
      </c>
      <c r="N9" s="77" t="inlineStr">
        <is>
          <t>Qdenga</t>
        </is>
      </c>
      <c r="O9" s="77" t="inlineStr">
        <is>
          <t>Daniela Morais</t>
        </is>
      </c>
      <c r="P9" s="77" t="inlineStr">
        <is>
          <t>Belo Horizonte</t>
        </is>
      </c>
      <c r="Q9" s="77" t="inlineStr">
        <is>
          <t>Presencial</t>
        </is>
      </c>
      <c r="R9" s="77" t="n"/>
      <c r="S9" s="77" t="n"/>
      <c r="T9" s="77" t="n"/>
      <c r="U9" s="77" t="n"/>
      <c r="V9" s="77" t="n"/>
      <c r="W9" s="14" t="inlineStr">
        <is>
          <t>24m²</t>
        </is>
      </c>
      <c r="X9" s="14" t="n"/>
      <c r="Y9" s="14" t="n"/>
      <c r="Z9" s="77" t="n"/>
    </row>
    <row r="10" ht="20.25" customHeight="1" s="100">
      <c r="A10" s="76" t="n">
        <v>7</v>
      </c>
      <c r="B10" s="76" t="inlineStr">
        <is>
          <t>EM-032062</t>
        </is>
      </c>
      <c r="C10" s="76" t="n"/>
      <c r="D10" s="76" t="inlineStr">
        <is>
          <t>BRAIN (COTA)</t>
        </is>
      </c>
      <c r="E10" s="76" t="inlineStr">
        <is>
          <t>Cota</t>
        </is>
      </c>
      <c r="F10" s="76" t="inlineStr">
        <is>
          <t>EM-032062</t>
        </is>
      </c>
      <c r="G10" s="10" t="inlineStr">
        <is>
          <t>Realizado</t>
        </is>
      </c>
      <c r="H10" s="11" t="inlineStr">
        <is>
          <t>Encerrada</t>
        </is>
      </c>
      <c r="I10" s="76" t="inlineStr">
        <is>
          <t>2025</t>
        </is>
      </c>
      <c r="J10" s="76" t="inlineStr">
        <is>
          <t>Q2 2025</t>
        </is>
      </c>
      <c r="K10" s="12" t="n">
        <v>45826</v>
      </c>
      <c r="L10" s="12" t="n">
        <v>45829</v>
      </c>
      <c r="M10" s="76" t="inlineStr">
        <is>
          <t>Neurociências</t>
        </is>
      </c>
      <c r="N10" s="76" t="inlineStr">
        <is>
          <t>Juneve</t>
        </is>
      </c>
      <c r="O10" s="76" t="inlineStr">
        <is>
          <t>Paula Almeida</t>
        </is>
      </c>
      <c r="P10" s="76" t="inlineStr">
        <is>
          <t>Fortaleza</t>
        </is>
      </c>
      <c r="Q10" s="76" t="inlineStr">
        <is>
          <t>Presencial</t>
        </is>
      </c>
      <c r="R10" s="76" t="n"/>
      <c r="S10" s="76" t="inlineStr">
        <is>
          <t>Centro de Eventos do Ceará</t>
        </is>
      </c>
      <c r="T10" s="76" t="inlineStr">
        <is>
          <t>Incentivare</t>
        </is>
      </c>
      <c r="U10" s="76" t="inlineStr">
        <is>
          <t>-</t>
        </is>
      </c>
      <c r="V10" s="76" t="inlineStr">
        <is>
          <t>INI - Instituto de Ciências Integradas</t>
        </is>
      </c>
      <c r="W10" s="11" t="inlineStr">
        <is>
          <t>36m²</t>
        </is>
      </c>
      <c r="X10" s="11" t="n"/>
      <c r="Y10" s="11" t="n"/>
      <c r="Z10" s="76" t="inlineStr">
        <is>
          <t>Pacote de investimento BRONZE:  R$405.000,00
Espaço número 13 de 36m2;
- 80 inscrições;
- 1 Simpósio Satélite;
- 19/06 - sala 3 - 800 pax - 12h45 às 13h45.
- 01 Mensagem aos congressistas;
- Envio de 2 e-mail marketing para inscritos do congresso;
- Envio de 1 push no aplicativo do evento;
- Logo no site do evento com link direcionável.</t>
        </is>
      </c>
    </row>
    <row r="11" ht="20.25" customHeight="1" s="100">
      <c r="A11" s="77" t="n">
        <v>8</v>
      </c>
      <c r="B11" s="77" t="inlineStr">
        <is>
          <t>EM-032482</t>
        </is>
      </c>
      <c r="C11" s="77" t="n"/>
      <c r="D11" s="77" t="inlineStr">
        <is>
          <t>BRAIN (APOIO)</t>
        </is>
      </c>
      <c r="E11" s="77" t="inlineStr">
        <is>
          <t>Apoio</t>
        </is>
      </c>
      <c r="F11" s="77" t="inlineStr">
        <is>
          <t>EM-032482</t>
        </is>
      </c>
      <c r="G11" s="10" t="inlineStr">
        <is>
          <t>Realizado</t>
        </is>
      </c>
      <c r="H11" s="14" t="inlineStr">
        <is>
          <t>Encerrada</t>
        </is>
      </c>
      <c r="I11" s="77" t="inlineStr">
        <is>
          <t>2025</t>
        </is>
      </c>
      <c r="J11" s="77" t="inlineStr">
        <is>
          <t>Q2 2025</t>
        </is>
      </c>
      <c r="K11" s="15" t="n">
        <v>45826</v>
      </c>
      <c r="L11" s="15" t="n">
        <v>45829</v>
      </c>
      <c r="M11" s="77" t="inlineStr">
        <is>
          <t>Neurociências</t>
        </is>
      </c>
      <c r="N11" s="77" t="inlineStr">
        <is>
          <t>Juneve</t>
        </is>
      </c>
      <c r="O11" s="77" t="inlineStr">
        <is>
          <t>Paula Almeida</t>
        </is>
      </c>
      <c r="P11" s="77" t="inlineStr">
        <is>
          <t>Fortaleza</t>
        </is>
      </c>
      <c r="Q11" s="77" t="inlineStr">
        <is>
          <t>Presencial</t>
        </is>
      </c>
      <c r="R11" s="77" t="n"/>
      <c r="S11" s="77" t="inlineStr">
        <is>
          <t>Centro de Eventos do Ceará</t>
        </is>
      </c>
      <c r="T11" s="77" t="inlineStr">
        <is>
          <t>Incentivare</t>
        </is>
      </c>
      <c r="U11" s="77" t="inlineStr">
        <is>
          <t>Mareiro</t>
        </is>
      </c>
      <c r="V11" s="77" t="inlineStr">
        <is>
          <t>INI - Instituto de Ciências Integradas</t>
        </is>
      </c>
      <c r="W11" s="14" t="inlineStr">
        <is>
          <t>N/A</t>
        </is>
      </c>
      <c r="X11" s="14" t="n">
        <v>80</v>
      </c>
      <c r="Y11" s="14" t="n">
        <v>92</v>
      </c>
      <c r="Z11" s="77" t="n"/>
    </row>
    <row r="12" ht="20.25" customHeight="1" s="100">
      <c r="A12" s="76" t="n">
        <v>9</v>
      </c>
      <c r="B12" s="76" t="inlineStr">
        <is>
          <t>EM-032483</t>
        </is>
      </c>
      <c r="C12" s="76" t="n"/>
      <c r="D12" s="76" t="inlineStr">
        <is>
          <t>BRAIN (SIMPOSIO)</t>
        </is>
      </c>
      <c r="E12" s="76" t="inlineStr">
        <is>
          <t>Simpósio</t>
        </is>
      </c>
      <c r="F12" s="76" t="inlineStr">
        <is>
          <t>EM-032483</t>
        </is>
      </c>
      <c r="G12" s="10" t="inlineStr">
        <is>
          <t>Realizado</t>
        </is>
      </c>
      <c r="H12" s="11" t="inlineStr">
        <is>
          <t>Encerrada</t>
        </is>
      </c>
      <c r="I12" s="76" t="inlineStr">
        <is>
          <t>2025</t>
        </is>
      </c>
      <c r="J12" s="76" t="inlineStr">
        <is>
          <t>Q2 2025</t>
        </is>
      </c>
      <c r="K12" s="12" t="n">
        <v>45827</v>
      </c>
      <c r="L12" s="12" t="n">
        <v>45827</v>
      </c>
      <c r="M12" s="76" t="inlineStr">
        <is>
          <t>Neurociências</t>
        </is>
      </c>
      <c r="N12" s="76" t="inlineStr">
        <is>
          <t>Juneve</t>
        </is>
      </c>
      <c r="O12" s="76" t="inlineStr">
        <is>
          <t>Paula Almeida</t>
        </is>
      </c>
      <c r="P12" s="76" t="inlineStr">
        <is>
          <t>Fortaleza</t>
        </is>
      </c>
      <c r="Q12" s="76" t="inlineStr">
        <is>
          <t>Presencial</t>
        </is>
      </c>
      <c r="R12" s="76" t="n"/>
      <c r="S12" s="76" t="inlineStr">
        <is>
          <t>Centro de Eventos do Ceará</t>
        </is>
      </c>
      <c r="T12" s="76" t="inlineStr">
        <is>
          <t>Incentivare</t>
        </is>
      </c>
      <c r="U12" s="76" t="inlineStr">
        <is>
          <t>Mareiro</t>
        </is>
      </c>
      <c r="V12" s="76" t="inlineStr">
        <is>
          <t>INI - Instituto de Ciências Integradas</t>
        </is>
      </c>
      <c r="W12" s="11" t="inlineStr">
        <is>
          <t>N/A</t>
        </is>
      </c>
      <c r="X12" s="11" t="n">
        <v>1000</v>
      </c>
      <c r="Y12" s="11" t="n"/>
      <c r="Z12" s="76" t="inlineStr">
        <is>
          <t>sem pagamento pela áre de eventos</t>
        </is>
      </c>
    </row>
    <row r="13" ht="20.25" customHeight="1" s="100">
      <c r="A13" s="77" t="n">
        <v>10</v>
      </c>
      <c r="B13" s="77" t="inlineStr">
        <is>
          <t>EM-032946</t>
        </is>
      </c>
      <c r="C13" s="77" t="n"/>
      <c r="D13" s="77" t="inlineStr">
        <is>
          <t>APRENDER CRIANÇA (COTA)</t>
        </is>
      </c>
      <c r="E13" s="77" t="inlineStr">
        <is>
          <t>Cota</t>
        </is>
      </c>
      <c r="F13" s="77" t="inlineStr">
        <is>
          <t>EM-032946</t>
        </is>
      </c>
      <c r="G13" s="10" t="inlineStr">
        <is>
          <t>Realizado</t>
        </is>
      </c>
      <c r="H13" s="14" t="inlineStr">
        <is>
          <t>Encerrada</t>
        </is>
      </c>
      <c r="I13" s="77" t="inlineStr">
        <is>
          <t>2025</t>
        </is>
      </c>
      <c r="J13" s="77" t="inlineStr">
        <is>
          <t>Q3 2025</t>
        </is>
      </c>
      <c r="K13" s="15" t="n">
        <v>45855</v>
      </c>
      <c r="L13" s="15" t="n">
        <v>45857</v>
      </c>
      <c r="M13" s="77" t="inlineStr">
        <is>
          <t>Neurociências</t>
        </is>
      </c>
      <c r="N13" s="77" t="inlineStr">
        <is>
          <t>Juneve</t>
        </is>
      </c>
      <c r="O13" s="77" t="inlineStr">
        <is>
          <t>Paula Almeida</t>
        </is>
      </c>
      <c r="P13" s="77" t="inlineStr">
        <is>
          <t>São Paulo</t>
        </is>
      </c>
      <c r="Q13" s="77" t="inlineStr">
        <is>
          <t>Presencial</t>
        </is>
      </c>
      <c r="R13" s="77" t="n"/>
      <c r="S13" s="77" t="inlineStr">
        <is>
          <t>Distrito Anhembi - SP</t>
        </is>
      </c>
      <c r="T13" s="77" t="n"/>
      <c r="U13" s="77" t="n"/>
      <c r="V13" s="77" t="inlineStr">
        <is>
          <t>Instituto Glia Consultoria Em Neurociencias</t>
        </is>
      </c>
      <c r="W13" s="14" t="inlineStr">
        <is>
          <t>N/A</t>
        </is>
      </c>
      <c r="X13" s="14" t="n"/>
      <c r="Y13" s="14" t="n"/>
      <c r="Z13" s="77" t="n"/>
    </row>
    <row r="14" ht="20.25" customHeight="1" s="100">
      <c r="A14" s="76" t="n">
        <v>11</v>
      </c>
      <c r="B14" s="76" t="inlineStr">
        <is>
          <t>EM-032950</t>
        </is>
      </c>
      <c r="C14" s="76" t="n"/>
      <c r="D14" s="76" t="inlineStr">
        <is>
          <t>APRENDER CRIANÇA (SIMPÓSIO)</t>
        </is>
      </c>
      <c r="E14" s="76" t="inlineStr">
        <is>
          <t>Simpósio</t>
        </is>
      </c>
      <c r="F14" s="76" t="inlineStr">
        <is>
          <t>EM-032950</t>
        </is>
      </c>
      <c r="G14" s="10" t="inlineStr">
        <is>
          <t>Realizado</t>
        </is>
      </c>
      <c r="H14" s="11" t="inlineStr">
        <is>
          <t>Encerrada</t>
        </is>
      </c>
      <c r="I14" s="76" t="inlineStr">
        <is>
          <t>2025</t>
        </is>
      </c>
      <c r="J14" s="76" t="inlineStr">
        <is>
          <t>Q3 2025</t>
        </is>
      </c>
      <c r="K14" s="12" t="n">
        <v>45856</v>
      </c>
      <c r="L14" s="12" t="n">
        <v>45856</v>
      </c>
      <c r="M14" s="76" t="inlineStr">
        <is>
          <t>Neurociências</t>
        </is>
      </c>
      <c r="N14" s="76" t="inlineStr">
        <is>
          <t>Juneve</t>
        </is>
      </c>
      <c r="O14" s="76" t="inlineStr">
        <is>
          <t>Paula Almeida</t>
        </is>
      </c>
      <c r="P14" s="76" t="inlineStr">
        <is>
          <t>São Paulo</t>
        </is>
      </c>
      <c r="Q14" s="76" t="inlineStr">
        <is>
          <t>Presencial</t>
        </is>
      </c>
      <c r="R14" s="76" t="n"/>
      <c r="S14" s="76" t="inlineStr">
        <is>
          <t>Distrito Anhembi - SP</t>
        </is>
      </c>
      <c r="T14" s="76" t="n"/>
      <c r="U14" s="76" t="n"/>
      <c r="V14" s="76" t="n"/>
      <c r="W14" s="11" t="inlineStr">
        <is>
          <t>N/A</t>
        </is>
      </c>
      <c r="X14" s="11" t="n"/>
      <c r="Y14" s="11" t="n"/>
      <c r="Z14" s="76" t="inlineStr">
        <is>
          <t>Lunch Box</t>
        </is>
      </c>
    </row>
    <row r="15" ht="20.25" customHeight="1" s="100">
      <c r="A15" s="77" t="n">
        <v>12</v>
      </c>
      <c r="B15" s="77" t="inlineStr">
        <is>
          <t>EM-033418</t>
        </is>
      </c>
      <c r="C15" s="77" t="n"/>
      <c r="D15" s="77" t="inlineStr">
        <is>
          <t>ENDODEBATE (SIMPÓSIO)</t>
        </is>
      </c>
      <c r="E15" s="77" t="inlineStr">
        <is>
          <t>Simpósio</t>
        </is>
      </c>
      <c r="F15" s="77" t="inlineStr">
        <is>
          <t>EM-033418</t>
        </is>
      </c>
      <c r="G15" s="10" t="inlineStr">
        <is>
          <t>Realizado</t>
        </is>
      </c>
      <c r="H15" s="14" t="inlineStr">
        <is>
          <t>Encerrada</t>
        </is>
      </c>
      <c r="I15" s="77" t="inlineStr">
        <is>
          <t>2025</t>
        </is>
      </c>
      <c r="J15" s="77" t="inlineStr">
        <is>
          <t>Q3 2025</t>
        </is>
      </c>
      <c r="K15" s="15" t="n">
        <v>45856</v>
      </c>
      <c r="L15" s="15" t="n">
        <v>45856</v>
      </c>
      <c r="M15" s="77" t="inlineStr">
        <is>
          <t>Neurociências</t>
        </is>
      </c>
      <c r="N15" s="77" t="inlineStr">
        <is>
          <t>Juneve</t>
        </is>
      </c>
      <c r="O15" s="77" t="inlineStr">
        <is>
          <t>Paula Almeida</t>
        </is>
      </c>
      <c r="P15" s="77" t="inlineStr">
        <is>
          <t>São Paulo</t>
        </is>
      </c>
      <c r="Q15" s="77" t="inlineStr">
        <is>
          <t>Hibrido</t>
        </is>
      </c>
      <c r="R15" s="77" t="n"/>
      <c r="S15" s="77" t="n"/>
      <c r="T15" s="77" t="n"/>
      <c r="U15" s="77" t="n"/>
      <c r="V15" s="77" t="n"/>
      <c r="W15" s="14" t="inlineStr">
        <is>
          <t>N/A</t>
        </is>
      </c>
      <c r="X15" s="14" t="n"/>
      <c r="Y15" s="14" t="n"/>
      <c r="Z15" s="77" t="inlineStr">
        <is>
          <t>sem pagamento pela áre de eventos</t>
        </is>
      </c>
    </row>
    <row r="16" ht="20.25" customHeight="1" s="100">
      <c r="A16" s="76" t="n">
        <v>13</v>
      </c>
      <c r="B16" s="76" t="inlineStr">
        <is>
          <t>EM-032632</t>
        </is>
      </c>
      <c r="C16" s="76" t="n"/>
      <c r="D16" s="76" t="inlineStr">
        <is>
          <t>ENDODEBATE (COTA)</t>
        </is>
      </c>
      <c r="E16" s="76" t="inlineStr">
        <is>
          <t>Cota</t>
        </is>
      </c>
      <c r="F16" s="76" t="inlineStr">
        <is>
          <t>EM-032632</t>
        </is>
      </c>
      <c r="G16" s="10" t="inlineStr">
        <is>
          <t>Realizado</t>
        </is>
      </c>
      <c r="H16" s="11" t="inlineStr">
        <is>
          <t>Encerrada</t>
        </is>
      </c>
      <c r="I16" s="76" t="inlineStr">
        <is>
          <t>2025</t>
        </is>
      </c>
      <c r="J16" s="76" t="inlineStr">
        <is>
          <t>Q3 2025</t>
        </is>
      </c>
      <c r="K16" s="12" t="n">
        <v>45856</v>
      </c>
      <c r="L16" s="12" t="n">
        <v>45857</v>
      </c>
      <c r="M16" s="76" t="inlineStr">
        <is>
          <t>Neurociências</t>
        </is>
      </c>
      <c r="N16" s="76" t="inlineStr">
        <is>
          <t>Juneve</t>
        </is>
      </c>
      <c r="O16" s="76" t="inlineStr">
        <is>
          <t>Paula Almeida</t>
        </is>
      </c>
      <c r="P16" s="76" t="inlineStr">
        <is>
          <t>São Paulo</t>
        </is>
      </c>
      <c r="Q16" s="76" t="inlineStr">
        <is>
          <t>Hibrido</t>
        </is>
      </c>
      <c r="R16" s="76" t="n"/>
      <c r="S16" s="76" t="inlineStr">
        <is>
          <t>Hotel Grand Mercure São Paulo Ibirapuera</t>
        </is>
      </c>
      <c r="T16" s="76" t="n"/>
      <c r="U16" s="76" t="n"/>
      <c r="V16" s="76" t="inlineStr">
        <is>
          <t>Editora Clannad</t>
        </is>
      </c>
      <c r="W16" s="11" t="inlineStr">
        <is>
          <t>Stand Padrão</t>
        </is>
      </c>
      <c r="X16" s="11" t="n"/>
      <c r="Y16" s="11" t="n"/>
      <c r="Z16" s="76" t="n"/>
    </row>
    <row r="17" ht="20.25" customHeight="1" s="100">
      <c r="A17" s="77" t="n">
        <v>14</v>
      </c>
      <c r="B17" s="77" t="inlineStr">
        <is>
          <t>EM-032953</t>
        </is>
      </c>
      <c r="C17" s="77" t="n"/>
      <c r="D17" s="77" t="inlineStr">
        <is>
          <t>ENDODEBATE (APOIO)</t>
        </is>
      </c>
      <c r="E17" s="77" t="inlineStr">
        <is>
          <t>Apoio</t>
        </is>
      </c>
      <c r="F17" s="77" t="inlineStr">
        <is>
          <t>EM-032953</t>
        </is>
      </c>
      <c r="G17" s="10" t="inlineStr">
        <is>
          <t>Realizado</t>
        </is>
      </c>
      <c r="H17" s="14" t="inlineStr">
        <is>
          <t>Encerrada</t>
        </is>
      </c>
      <c r="I17" s="77" t="inlineStr">
        <is>
          <t>2025</t>
        </is>
      </c>
      <c r="J17" s="77" t="inlineStr">
        <is>
          <t>Q3 2025</t>
        </is>
      </c>
      <c r="K17" s="15" t="n">
        <v>45856</v>
      </c>
      <c r="L17" s="15" t="n">
        <v>45857</v>
      </c>
      <c r="M17" s="77" t="inlineStr">
        <is>
          <t>Neurociências</t>
        </is>
      </c>
      <c r="N17" s="77" t="inlineStr">
        <is>
          <t>Juneve</t>
        </is>
      </c>
      <c r="O17" s="77" t="inlineStr">
        <is>
          <t>Paula Almeida</t>
        </is>
      </c>
      <c r="P17" s="77" t="inlineStr">
        <is>
          <t>São Paulo</t>
        </is>
      </c>
      <c r="Q17" s="77" t="inlineStr">
        <is>
          <t>Hibrido</t>
        </is>
      </c>
      <c r="R17" s="77" t="n"/>
      <c r="S17" s="77" t="n"/>
      <c r="T17" s="77" t="n"/>
      <c r="U17" s="77" t="n"/>
      <c r="V17" s="77" t="n"/>
      <c r="W17" s="14" t="inlineStr">
        <is>
          <t>N/A</t>
        </is>
      </c>
      <c r="X17" s="14" t="n">
        <v>230</v>
      </c>
      <c r="Y17" s="14" t="n"/>
      <c r="Z17" s="77" t="inlineStr">
        <is>
          <t>sem pagamento pela áre de eventos</t>
        </is>
      </c>
    </row>
    <row r="18" ht="20.25" customHeight="1" s="100">
      <c r="A18" s="76" t="n">
        <v>15</v>
      </c>
      <c r="B18" s="76" t="inlineStr">
        <is>
          <t>EM-033101</t>
        </is>
      </c>
      <c r="C18" s="76" t="n"/>
      <c r="D18" s="76" t="inlineStr">
        <is>
          <t>MEETING AT 2025</t>
        </is>
      </c>
      <c r="E18" s="76" t="inlineStr">
        <is>
          <t>Cota</t>
        </is>
      </c>
      <c r="F18" s="76" t="inlineStr">
        <is>
          <t>EM-033101</t>
        </is>
      </c>
      <c r="G18" s="10" t="inlineStr">
        <is>
          <t>Realizado</t>
        </is>
      </c>
      <c r="H18" s="11" t="inlineStr">
        <is>
          <t>Encerrada</t>
        </is>
      </c>
      <c r="I18" s="76" t="inlineStr">
        <is>
          <t>2025</t>
        </is>
      </c>
      <c r="J18" s="76" t="inlineStr">
        <is>
          <t>Q3 2025</t>
        </is>
      </c>
      <c r="K18" s="12" t="n">
        <v>45871</v>
      </c>
      <c r="L18" s="12" t="n">
        <v>45871</v>
      </c>
      <c r="M18" s="76" t="inlineStr">
        <is>
          <t>Neurociências</t>
        </is>
      </c>
      <c r="N18" s="76" t="inlineStr">
        <is>
          <t>Juneve/Venvanse</t>
        </is>
      </c>
      <c r="O18" s="76" t="inlineStr">
        <is>
          <t>Paula Almeida</t>
        </is>
      </c>
      <c r="P18" s="76" t="inlineStr">
        <is>
          <t>João Pessoa</t>
        </is>
      </c>
      <c r="Q18" s="76" t="inlineStr">
        <is>
          <t>Presencial</t>
        </is>
      </c>
      <c r="R18" s="76" t="n"/>
      <c r="S18" s="76" t="inlineStr">
        <is>
          <t>Centro Cultural Ariano Suassuna</t>
        </is>
      </c>
      <c r="T18" s="76" t="n"/>
      <c r="U18" s="76" t="n"/>
      <c r="V18" s="76" t="inlineStr">
        <is>
          <t>SEMEP</t>
        </is>
      </c>
      <c r="W18" s="11" t="inlineStr">
        <is>
          <t>Mesa e cadeira</t>
        </is>
      </c>
      <c r="X18" s="11" t="n">
        <v>35</v>
      </c>
      <c r="Y18" s="11" t="n"/>
      <c r="Z18" s="76" t="n"/>
    </row>
    <row r="19" ht="20.25" customHeight="1" s="100">
      <c r="A19" s="77" t="n">
        <v>16</v>
      </c>
      <c r="B19" s="77" t="inlineStr">
        <is>
          <t>EM-033954</t>
        </is>
      </c>
      <c r="C19" s="77" t="n"/>
      <c r="D19" s="77" t="inlineStr">
        <is>
          <t>NEW FRONTIERS 2025 (Warm-up)</t>
        </is>
      </c>
      <c r="E19" s="77" t="inlineStr">
        <is>
          <t>TOME/Advisory</t>
        </is>
      </c>
      <c r="F19" s="77" t="inlineStr">
        <is>
          <t>EM-033954</t>
        </is>
      </c>
      <c r="G19" s="10" t="inlineStr">
        <is>
          <t>Realizado</t>
        </is>
      </c>
      <c r="H19" s="14" t="inlineStr">
        <is>
          <t>Encerrada</t>
        </is>
      </c>
      <c r="I19" s="77" t="inlineStr">
        <is>
          <t>2025</t>
        </is>
      </c>
      <c r="J19" s="77" t="inlineStr">
        <is>
          <t>Q3 2025</t>
        </is>
      </c>
      <c r="K19" s="15" t="n">
        <v>45890</v>
      </c>
      <c r="L19" s="15" t="n">
        <v>45890</v>
      </c>
      <c r="M19" s="77" t="inlineStr">
        <is>
          <t>Neurociências</t>
        </is>
      </c>
      <c r="N19" s="77" t="inlineStr">
        <is>
          <t>Juneve</t>
        </is>
      </c>
      <c r="O19" s="77" t="inlineStr">
        <is>
          <t>Paula Almeida</t>
        </is>
      </c>
      <c r="P19" s="77" t="inlineStr">
        <is>
          <t>São Paulo</t>
        </is>
      </c>
      <c r="Q19" s="77" t="inlineStr">
        <is>
          <t>Hibrido</t>
        </is>
      </c>
      <c r="R19" s="77" t="n"/>
      <c r="S19" s="77" t="inlineStr">
        <is>
          <t>Restaurante Pobre Juan |Morumbi Shopping</t>
        </is>
      </c>
      <c r="T19" s="77" t="inlineStr">
        <is>
          <t>-</t>
        </is>
      </c>
      <c r="U19" s="77" t="inlineStr">
        <is>
          <t>-</t>
        </is>
      </c>
      <c r="V19" s="77" t="inlineStr">
        <is>
          <t>Instituto de Ciências Integradas, Cultura e Eventos</t>
        </is>
      </c>
      <c r="W19" s="14" t="inlineStr">
        <is>
          <t>N/A</t>
        </is>
      </c>
      <c r="X19" s="14" t="n">
        <v>35</v>
      </c>
      <c r="Y19" s="14" t="n">
        <v>19</v>
      </c>
      <c r="Z19" s="77" t="inlineStr">
        <is>
          <t>Não precisa RSVP, deverá ser enviado para aCCM uma lista de HCPs que irão participar</t>
        </is>
      </c>
    </row>
    <row r="20" ht="20.25" customHeight="1" s="100">
      <c r="A20" s="76" t="n">
        <v>17</v>
      </c>
      <c r="B20" s="76" t="inlineStr">
        <is>
          <t>EM-033378</t>
        </is>
      </c>
      <c r="C20" s="76" t="n"/>
      <c r="D20" s="76" t="inlineStr">
        <is>
          <t>MASTERCLASS (SIMPÓSIO)</t>
        </is>
      </c>
      <c r="E20" s="76" t="inlineStr">
        <is>
          <t>Simpósio</t>
        </is>
      </c>
      <c r="F20" s="76" t="inlineStr">
        <is>
          <t>EM-033378</t>
        </is>
      </c>
      <c r="G20" s="10" t="inlineStr">
        <is>
          <t>Realizado</t>
        </is>
      </c>
      <c r="H20" s="11" t="inlineStr">
        <is>
          <t>Encerrada</t>
        </is>
      </c>
      <c r="I20" s="76" t="inlineStr">
        <is>
          <t>2025</t>
        </is>
      </c>
      <c r="J20" s="76" t="inlineStr">
        <is>
          <t>Q3 2025</t>
        </is>
      </c>
      <c r="K20" s="12" t="n">
        <v>45911</v>
      </c>
      <c r="L20" s="12" t="n">
        <v>45911</v>
      </c>
      <c r="M20" s="76" t="inlineStr">
        <is>
          <t>Neurociências</t>
        </is>
      </c>
      <c r="N20" s="76" t="inlineStr">
        <is>
          <t>Juneve</t>
        </is>
      </c>
      <c r="O20" s="76" t="inlineStr">
        <is>
          <t>Paula Almeida</t>
        </is>
      </c>
      <c r="P20" s="76" t="inlineStr">
        <is>
          <t>São Paulo</t>
        </is>
      </c>
      <c r="Q20" s="76" t="inlineStr">
        <is>
          <t>Presencial</t>
        </is>
      </c>
      <c r="R20" s="76" t="n"/>
      <c r="S20" s="76" t="inlineStr">
        <is>
          <t>Centro de Convenções Frei Caneca</t>
        </is>
      </c>
      <c r="T20" s="76" t="inlineStr">
        <is>
          <t>Incentivare</t>
        </is>
      </c>
      <c r="U20" s="76" t="inlineStr">
        <is>
          <t>-</t>
        </is>
      </c>
      <c r="V20" s="76" t="inlineStr">
        <is>
          <t>Centro de Estudo Paulista de Psiquiatria -CEPP</t>
        </is>
      </c>
      <c r="W20" s="11" t="inlineStr">
        <is>
          <t>N/A</t>
        </is>
      </c>
      <c r="X20" s="11" t="n">
        <v>600</v>
      </c>
      <c r="Y20" s="11" t="n"/>
      <c r="Z20" s="76" t="inlineStr">
        <is>
          <t>15h10 e 16h10 (Sala 1 – Hipócrates)
Tema do simpósio: Lisdexanfetamina no Tratamento do TDAH: Bioequivalência e Equivalência Terapêutica</t>
        </is>
      </c>
    </row>
    <row r="21" ht="20.25" customHeight="1" s="100">
      <c r="A21" s="77" t="n">
        <v>18</v>
      </c>
      <c r="B21" s="77" t="inlineStr">
        <is>
          <t>EM-032272</t>
        </is>
      </c>
      <c r="C21" s="77" t="n"/>
      <c r="D21" s="77" t="inlineStr">
        <is>
          <t>MASTERCLASS (COTA)</t>
        </is>
      </c>
      <c r="E21" s="77" t="inlineStr">
        <is>
          <t>Cota</t>
        </is>
      </c>
      <c r="F21" s="77" t="inlineStr">
        <is>
          <t>EM-032272</t>
        </is>
      </c>
      <c r="G21" s="10" t="inlineStr">
        <is>
          <t>Realizado</t>
        </is>
      </c>
      <c r="H21" s="14" t="inlineStr">
        <is>
          <t>Encerrada</t>
        </is>
      </c>
      <c r="I21" s="77" t="inlineStr">
        <is>
          <t>2025</t>
        </is>
      </c>
      <c r="J21" s="77" t="inlineStr">
        <is>
          <t>Q3 2025</t>
        </is>
      </c>
      <c r="K21" s="15" t="n">
        <v>45911</v>
      </c>
      <c r="L21" s="15" t="n">
        <v>45913</v>
      </c>
      <c r="M21" s="77" t="inlineStr">
        <is>
          <t>Neurociências</t>
        </is>
      </c>
      <c r="N21" s="77" t="inlineStr">
        <is>
          <t>Juneve</t>
        </is>
      </c>
      <c r="O21" s="77" t="inlineStr">
        <is>
          <t>Paula Almeida</t>
        </is>
      </c>
      <c r="P21" s="77" t="inlineStr">
        <is>
          <t>São Paulo</t>
        </is>
      </c>
      <c r="Q21" s="77" t="inlineStr">
        <is>
          <t>Presencial</t>
        </is>
      </c>
      <c r="R21" s="77" t="n"/>
      <c r="S21" s="77" t="inlineStr">
        <is>
          <t>Centro de Convenções Frei Caneca</t>
        </is>
      </c>
      <c r="T21" s="77" t="inlineStr">
        <is>
          <t>Incentivare</t>
        </is>
      </c>
      <c r="U21" s="77" t="inlineStr">
        <is>
          <t>-</t>
        </is>
      </c>
      <c r="V21" s="77" t="inlineStr">
        <is>
          <t>Centro de Estudo Paulista de Psiquiatria -CEPP</t>
        </is>
      </c>
      <c r="W21" s="14" t="inlineStr">
        <is>
          <t>15m²</t>
        </is>
      </c>
      <c r="X21" s="14" t="n"/>
      <c r="Y21" s="14" t="n"/>
      <c r="Z21" s="77" t="inlineStr">
        <is>
          <t>Solicitado projeto e orçamento para Jardim Elétrico</t>
        </is>
      </c>
    </row>
    <row r="22" ht="20.25" customHeight="1" s="100">
      <c r="A22" s="76" t="n">
        <v>19</v>
      </c>
      <c r="B22" s="76" t="inlineStr">
        <is>
          <t>EM-032944</t>
        </is>
      </c>
      <c r="C22" s="76" t="n"/>
      <c r="D22" s="76" t="inlineStr">
        <is>
          <t>MASTERCLASS (APOIO)</t>
        </is>
      </c>
      <c r="E22" s="76" t="inlineStr">
        <is>
          <t>Apoio</t>
        </is>
      </c>
      <c r="F22" s="76" t="inlineStr">
        <is>
          <t>EM-032944</t>
        </is>
      </c>
      <c r="G22" s="10" t="inlineStr">
        <is>
          <t>Realizado</t>
        </is>
      </c>
      <c r="H22" s="11" t="inlineStr">
        <is>
          <t>Encerrada</t>
        </is>
      </c>
      <c r="I22" s="76" t="inlineStr">
        <is>
          <t>2025</t>
        </is>
      </c>
      <c r="J22" s="76" t="inlineStr">
        <is>
          <t>Q3 2025</t>
        </is>
      </c>
      <c r="K22" s="12" t="n">
        <v>45911</v>
      </c>
      <c r="L22" s="12" t="n">
        <v>45913</v>
      </c>
      <c r="M22" s="76" t="inlineStr">
        <is>
          <t>Neurociências</t>
        </is>
      </c>
      <c r="N22" s="76" t="inlineStr">
        <is>
          <t>Juneve</t>
        </is>
      </c>
      <c r="O22" s="76" t="inlineStr">
        <is>
          <t>Paula Almeida</t>
        </is>
      </c>
      <c r="P22" s="76" t="inlineStr">
        <is>
          <t>São Paulo</t>
        </is>
      </c>
      <c r="Q22" s="76" t="inlineStr">
        <is>
          <t>Presencial</t>
        </is>
      </c>
      <c r="R22" s="76" t="n"/>
      <c r="S22" s="76" t="inlineStr">
        <is>
          <t>Centro de Convenções Frei Caneca</t>
        </is>
      </c>
      <c r="T22" s="76" t="inlineStr">
        <is>
          <t>Incentivare</t>
        </is>
      </c>
      <c r="U22" s="76" t="inlineStr">
        <is>
          <t>-</t>
        </is>
      </c>
      <c r="V22" s="76" t="inlineStr">
        <is>
          <t>Centro de Estudo Paulista de Psiquiatria -CEPP</t>
        </is>
      </c>
      <c r="W22" s="11" t="inlineStr">
        <is>
          <t>N/A</t>
        </is>
      </c>
      <c r="X22" s="11" t="n">
        <v>200</v>
      </c>
      <c r="Y22" s="11" t="n"/>
      <c r="Z22" s="76" t="inlineStr">
        <is>
          <t>180 inscrições online e 20 presenciais</t>
        </is>
      </c>
    </row>
    <row r="23" ht="20.25" customHeight="1" s="100">
      <c r="A23" s="77" t="n">
        <v>20</v>
      </c>
      <c r="B23" s="77" t="inlineStr">
        <is>
          <t>EM-033997</t>
        </is>
      </c>
      <c r="C23" s="77" t="n"/>
      <c r="D23" s="77" t="inlineStr">
        <is>
          <t>WEBINAR TDAH</t>
        </is>
      </c>
      <c r="E23" s="77" t="inlineStr">
        <is>
          <t>TOME/Advisory</t>
        </is>
      </c>
      <c r="F23" s="77" t="inlineStr">
        <is>
          <t>EM-033997</t>
        </is>
      </c>
      <c r="G23" s="10" t="inlineStr">
        <is>
          <t>Realizado</t>
        </is>
      </c>
      <c r="H23" s="14" t="inlineStr">
        <is>
          <t>Encerrada</t>
        </is>
      </c>
      <c r="I23" s="77" t="inlineStr">
        <is>
          <t>2025</t>
        </is>
      </c>
      <c r="J23" s="77" t="inlineStr">
        <is>
          <t>Q3 2025</t>
        </is>
      </c>
      <c r="K23" s="15" t="n">
        <v>45918</v>
      </c>
      <c r="L23" s="15" t="n">
        <v>45918</v>
      </c>
      <c r="M23" s="77" t="inlineStr">
        <is>
          <t>Neurociências</t>
        </is>
      </c>
      <c r="N23" s="77" t="inlineStr">
        <is>
          <t>Juneve</t>
        </is>
      </c>
      <c r="O23" s="77" t="inlineStr">
        <is>
          <t>Paula Almeida</t>
        </is>
      </c>
      <c r="P23" s="77" t="inlineStr">
        <is>
          <t>Virtual</t>
        </is>
      </c>
      <c r="Q23" s="77" t="inlineStr">
        <is>
          <t>Virtual</t>
        </is>
      </c>
      <c r="R23" s="77" t="n"/>
      <c r="S23" s="77" t="inlineStr">
        <is>
          <t>Virtual</t>
        </is>
      </c>
      <c r="T23" s="77" t="inlineStr">
        <is>
          <t>Incentivare</t>
        </is>
      </c>
      <c r="U23" s="77" t="inlineStr">
        <is>
          <t>N/A</t>
        </is>
      </c>
      <c r="V23" s="77" t="inlineStr">
        <is>
          <t>N/A</t>
        </is>
      </c>
      <c r="W23" s="14" t="inlineStr">
        <is>
          <t>N/A</t>
        </is>
      </c>
      <c r="X23" s="14" t="n"/>
      <c r="Y23" s="14" t="n"/>
      <c r="Z23" s="77" t="n"/>
    </row>
    <row r="24" ht="20.25" customHeight="1" s="100">
      <c r="A24" s="76" t="n">
        <v>21</v>
      </c>
      <c r="B24" s="76" t="inlineStr">
        <is>
          <t>EM-033785</t>
        </is>
      </c>
      <c r="C24" s="76" t="n"/>
      <c r="D24" s="76" t="inlineStr">
        <is>
          <t>NEW FRONTIERS 2025 (COTA)</t>
        </is>
      </c>
      <c r="E24" s="76" t="inlineStr">
        <is>
          <t>Cota</t>
        </is>
      </c>
      <c r="F24" s="76" t="inlineStr">
        <is>
          <t>EM-033785</t>
        </is>
      </c>
      <c r="G24" s="10" t="inlineStr">
        <is>
          <t>Realizado</t>
        </is>
      </c>
      <c r="H24" s="11" t="inlineStr">
        <is>
          <t>Encerrada</t>
        </is>
      </c>
      <c r="I24" s="76" t="inlineStr">
        <is>
          <t>2025</t>
        </is>
      </c>
      <c r="J24" s="76" t="inlineStr">
        <is>
          <t>Q3 2025</t>
        </is>
      </c>
      <c r="K24" s="12" t="n">
        <v>45919</v>
      </c>
      <c r="L24" s="12" t="n">
        <v>45920</v>
      </c>
      <c r="M24" s="76" t="inlineStr">
        <is>
          <t>Neurociências</t>
        </is>
      </c>
      <c r="N24" s="76" t="inlineStr">
        <is>
          <t>Juneve</t>
        </is>
      </c>
      <c r="O24" s="76" t="inlineStr">
        <is>
          <t>Paula Almeida</t>
        </is>
      </c>
      <c r="P24" s="76" t="inlineStr">
        <is>
          <t>São Paulo</t>
        </is>
      </c>
      <c r="Q24" s="76" t="inlineStr">
        <is>
          <t>Virtual</t>
        </is>
      </c>
      <c r="R24" s="76" t="n"/>
      <c r="S24" s="76" t="inlineStr">
        <is>
          <t>Virtual</t>
        </is>
      </c>
      <c r="T24" s="76" t="inlineStr">
        <is>
          <t>-</t>
        </is>
      </c>
      <c r="U24" s="76" t="inlineStr">
        <is>
          <t>-</t>
        </is>
      </c>
      <c r="V24" s="76" t="inlineStr">
        <is>
          <t>Instituto de Ciências Integradas, Cultura e Eventos</t>
        </is>
      </c>
      <c r="W24" s="11" t="inlineStr">
        <is>
          <t>N/A</t>
        </is>
      </c>
      <c r="X24" s="11" t="n"/>
      <c r="Y24" s="11" t="n"/>
      <c r="Z24" s="76" t="inlineStr">
        <is>
          <t>EM-033762 Cancelada</t>
        </is>
      </c>
    </row>
    <row r="25" ht="20.25" customHeight="1" s="100">
      <c r="A25" s="77" t="n">
        <v>22</v>
      </c>
      <c r="B25" s="77" t="inlineStr">
        <is>
          <t>EM-033905</t>
        </is>
      </c>
      <c r="C25" s="77" t="n"/>
      <c r="D25" s="77" t="inlineStr">
        <is>
          <t>NEW FRONTIERS 2025 (APOIO)</t>
        </is>
      </c>
      <c r="E25" s="77" t="inlineStr">
        <is>
          <t>Apoio</t>
        </is>
      </c>
      <c r="F25" s="77" t="inlineStr">
        <is>
          <t>EM-033905</t>
        </is>
      </c>
      <c r="G25" s="10" t="inlineStr">
        <is>
          <t>Realizado</t>
        </is>
      </c>
      <c r="H25" s="14" t="inlineStr">
        <is>
          <t>Encerrada</t>
        </is>
      </c>
      <c r="I25" s="77" t="inlineStr">
        <is>
          <t>2025</t>
        </is>
      </c>
      <c r="J25" s="77" t="inlineStr">
        <is>
          <t>Q3 2025</t>
        </is>
      </c>
      <c r="K25" s="15" t="n">
        <v>45919</v>
      </c>
      <c r="L25" s="15" t="n">
        <v>45920</v>
      </c>
      <c r="M25" s="77" t="inlineStr">
        <is>
          <t>Neurociências</t>
        </is>
      </c>
      <c r="N25" s="77" t="inlineStr">
        <is>
          <t>Juneve</t>
        </is>
      </c>
      <c r="O25" s="77" t="inlineStr">
        <is>
          <t>Paula Almeida</t>
        </is>
      </c>
      <c r="P25" s="77" t="inlineStr">
        <is>
          <t>São Paulo</t>
        </is>
      </c>
      <c r="Q25" s="77" t="inlineStr">
        <is>
          <t>Virtual</t>
        </is>
      </c>
      <c r="R25" s="77" t="n"/>
      <c r="S25" s="77" t="inlineStr">
        <is>
          <t>Virtual</t>
        </is>
      </c>
      <c r="T25" s="77" t="inlineStr">
        <is>
          <t>Incentivare</t>
        </is>
      </c>
      <c r="U25" s="77" t="inlineStr">
        <is>
          <t>-</t>
        </is>
      </c>
      <c r="V25" s="77" t="inlineStr">
        <is>
          <t>Instituto de Ciências Integradas, Cultura e Eventos</t>
        </is>
      </c>
      <c r="W25" s="14" t="inlineStr">
        <is>
          <t>N/A</t>
        </is>
      </c>
      <c r="X25" s="14" t="n">
        <v>30</v>
      </c>
      <c r="Y25" s="14" t="n">
        <v>20</v>
      </c>
      <c r="Z25" s="77" t="inlineStr">
        <is>
          <t>30 Inscrições para o congresso online - New Frontiers in ADHD 2025</t>
        </is>
      </c>
    </row>
    <row r="26" ht="20.25" customHeight="1" s="100">
      <c r="A26" s="76" t="n">
        <v>23</v>
      </c>
      <c r="B26" s="76" t="inlineStr">
        <is>
          <t>EM-033920</t>
        </is>
      </c>
      <c r="C26" s="76" t="n"/>
      <c r="D26" s="76" t="inlineStr">
        <is>
          <t>PRODATH - PSQ HC (COTA)</t>
        </is>
      </c>
      <c r="E26" s="76" t="inlineStr">
        <is>
          <t>Cota</t>
        </is>
      </c>
      <c r="F26" s="76" t="inlineStr">
        <is>
          <t>EM-033920</t>
        </is>
      </c>
      <c r="G26" s="10" t="inlineStr">
        <is>
          <t>Realizado</t>
        </is>
      </c>
      <c r="H26" s="11" t="inlineStr">
        <is>
          <t>Encerrada</t>
        </is>
      </c>
      <c r="I26" s="76" t="inlineStr">
        <is>
          <t>2025</t>
        </is>
      </c>
      <c r="J26" s="76" t="inlineStr">
        <is>
          <t>Q4 2025</t>
        </is>
      </c>
      <c r="K26" s="12" t="n">
        <v>45948</v>
      </c>
      <c r="L26" s="12" t="n">
        <v>45948</v>
      </c>
      <c r="M26" s="76" t="inlineStr">
        <is>
          <t>Neurociências</t>
        </is>
      </c>
      <c r="N26" s="76" t="inlineStr">
        <is>
          <t>Juneve</t>
        </is>
      </c>
      <c r="O26" s="76" t="inlineStr">
        <is>
          <t>Paula Almeida</t>
        </is>
      </c>
      <c r="P26" s="76" t="inlineStr">
        <is>
          <t>São Paulo</t>
        </is>
      </c>
      <c r="Q26" s="76" t="inlineStr">
        <is>
          <t>Hibrido</t>
        </is>
      </c>
      <c r="R26" s="76" t="n"/>
      <c r="S26" s="76" t="inlineStr">
        <is>
          <t>Centro de Convenções Rebouças</t>
        </is>
      </c>
      <c r="T26" s="76" t="inlineStr">
        <is>
          <t>-</t>
        </is>
      </c>
      <c r="U26" s="76" t="inlineStr">
        <is>
          <t>-</t>
        </is>
      </c>
      <c r="V26" s="76" t="inlineStr">
        <is>
          <t>Centro de Estudos do Instituto de Psiquiatria - CEIP</t>
        </is>
      </c>
      <c r="W26" s="11" t="inlineStr">
        <is>
          <t>N/A</t>
        </is>
      </c>
      <c r="X26" s="11" t="n"/>
      <c r="Y26" s="11" t="n"/>
      <c r="Z26" s="76" t="inlineStr">
        <is>
          <t>Inserção logo no material de divulgação (e-mail mkt, instagram, facebook, linkedin, banner no evento)
30 (trinta) inscrições de cortesias  FULL (on-line, presencial e gravação do evento).</t>
        </is>
      </c>
    </row>
    <row r="27" ht="20.25" customHeight="1" s="100">
      <c r="A27" s="77" t="n">
        <v>24</v>
      </c>
      <c r="B27" s="77" t="inlineStr">
        <is>
          <t>EM-034234</t>
        </is>
      </c>
      <c r="C27" s="77" t="n"/>
      <c r="D27" s="77" t="inlineStr">
        <is>
          <t>PRODATH - PSQ HC (SIMPÓSIO)</t>
        </is>
      </c>
      <c r="E27" s="77" t="inlineStr">
        <is>
          <t>Simpósio</t>
        </is>
      </c>
      <c r="F27" s="77" t="inlineStr">
        <is>
          <t>EM-034234</t>
        </is>
      </c>
      <c r="G27" s="10" t="inlineStr">
        <is>
          <t>Realizado</t>
        </is>
      </c>
      <c r="H27" s="14" t="inlineStr">
        <is>
          <t>aprovada</t>
        </is>
      </c>
      <c r="I27" s="77" t="inlineStr">
        <is>
          <t>2025</t>
        </is>
      </c>
      <c r="J27" s="77" t="inlineStr">
        <is>
          <t>Q4 2025</t>
        </is>
      </c>
      <c r="K27" s="15" t="n">
        <v>45948</v>
      </c>
      <c r="L27" s="15" t="n">
        <v>45948</v>
      </c>
      <c r="M27" s="77" t="inlineStr">
        <is>
          <t>Neurociências</t>
        </is>
      </c>
      <c r="N27" s="77" t="inlineStr">
        <is>
          <t>Juneve</t>
        </is>
      </c>
      <c r="O27" s="77" t="inlineStr">
        <is>
          <t>Paula Almeida</t>
        </is>
      </c>
      <c r="P27" s="77" t="inlineStr">
        <is>
          <t>São Paulo</t>
        </is>
      </c>
      <c r="Q27" s="77" t="inlineStr">
        <is>
          <t>Hibrido</t>
        </is>
      </c>
      <c r="R27" s="77" t="n"/>
      <c r="S27" s="77" t="inlineStr">
        <is>
          <t>Centro de Convenções Rebouças</t>
        </is>
      </c>
      <c r="T27" s="77" t="inlineStr">
        <is>
          <t>-</t>
        </is>
      </c>
      <c r="U27" s="77" t="inlineStr">
        <is>
          <t>-</t>
        </is>
      </c>
      <c r="V27" s="77" t="inlineStr">
        <is>
          <t>Centro de Estudos do Instituto de Psiquiatria - CEIP</t>
        </is>
      </c>
      <c r="W27" s="14" t="inlineStr">
        <is>
          <t>N/A</t>
        </is>
      </c>
      <c r="X27" s="14" t="n">
        <v>200</v>
      </c>
      <c r="Y27" s="14" t="n"/>
      <c r="Z27" s="77" t="inlineStr">
        <is>
          <t>sem pagamento pela áre de eventos</t>
        </is>
      </c>
    </row>
    <row r="28" ht="20.25" customHeight="1" s="100">
      <c r="A28" s="76" t="n">
        <v>25</v>
      </c>
      <c r="B28" s="76" t="inlineStr">
        <is>
          <t>EM-034249</t>
        </is>
      </c>
      <c r="C28" s="76" t="n"/>
      <c r="D28" s="76" t="inlineStr">
        <is>
          <t>PRODATH - PSQ HC (APOIO)</t>
        </is>
      </c>
      <c r="E28" s="76" t="inlineStr">
        <is>
          <t>Apoio</t>
        </is>
      </c>
      <c r="F28" s="76" t="inlineStr">
        <is>
          <t>EM-034249</t>
        </is>
      </c>
      <c r="G28" s="10" t="inlineStr">
        <is>
          <t>Realizado</t>
        </is>
      </c>
      <c r="H28" s="11" t="inlineStr">
        <is>
          <t>Encerrada</t>
        </is>
      </c>
      <c r="I28" s="76" t="inlineStr">
        <is>
          <t>2025</t>
        </is>
      </c>
      <c r="J28" s="76" t="inlineStr">
        <is>
          <t>Q4 2025</t>
        </is>
      </c>
      <c r="K28" s="12" t="n">
        <v>45948</v>
      </c>
      <c r="L28" s="12" t="n">
        <v>45948</v>
      </c>
      <c r="M28" s="76" t="inlineStr">
        <is>
          <t>Neurociências</t>
        </is>
      </c>
      <c r="N28" s="76" t="inlineStr">
        <is>
          <t>Juneve</t>
        </is>
      </c>
      <c r="O28" s="76" t="inlineStr">
        <is>
          <t>Paula Almeida</t>
        </is>
      </c>
      <c r="P28" s="76" t="inlineStr">
        <is>
          <t>São Paulo</t>
        </is>
      </c>
      <c r="Q28" s="76" t="inlineStr">
        <is>
          <t>Hibrido</t>
        </is>
      </c>
      <c r="R28" s="76" t="n"/>
      <c r="S28" s="76" t="inlineStr">
        <is>
          <t>Centro de Convenções Rebouças</t>
        </is>
      </c>
      <c r="T28" s="76" t="inlineStr">
        <is>
          <t>-</t>
        </is>
      </c>
      <c r="U28" s="76" t="inlineStr">
        <is>
          <t>-</t>
        </is>
      </c>
      <c r="V28" s="76" t="inlineStr">
        <is>
          <t>Centro de Estudos do Instituto de Psiquiatria - CEIP</t>
        </is>
      </c>
      <c r="W28" s="11" t="inlineStr">
        <is>
          <t>N/A</t>
        </is>
      </c>
      <c r="X28" s="11" t="n">
        <v>30</v>
      </c>
      <c r="Y28" s="11" t="n"/>
      <c r="Z28" s="76" t="inlineStr">
        <is>
          <t>NÃO TEVE RSVP - A BL fez as isncrições dos apoioas a partir da lista enviada</t>
        </is>
      </c>
    </row>
    <row r="29" ht="20.25" customHeight="1" s="100">
      <c r="A29" s="77" t="n">
        <v>26</v>
      </c>
      <c r="B29" s="77" t="inlineStr">
        <is>
          <t>EM-034231</t>
        </is>
      </c>
      <c r="C29" s="77" t="n"/>
      <c r="D29" s="77" t="inlineStr">
        <is>
          <t>XLII CBP - Congresso Brasileiro de Psiquiatria (COTA)</t>
        </is>
      </c>
      <c r="E29" s="77" t="inlineStr">
        <is>
          <t>Cota</t>
        </is>
      </c>
      <c r="F29" s="77" t="inlineStr">
        <is>
          <t>EM-034231</t>
        </is>
      </c>
      <c r="G29" s="10" t="inlineStr">
        <is>
          <t>Realizado</t>
        </is>
      </c>
      <c r="H29" s="14" t="inlineStr">
        <is>
          <t>Encerrada</t>
        </is>
      </c>
      <c r="I29" s="77" t="inlineStr">
        <is>
          <t>2025</t>
        </is>
      </c>
      <c r="J29" s="77" t="inlineStr">
        <is>
          <t>Q4 2025</t>
        </is>
      </c>
      <c r="K29" s="15" t="n">
        <v>45966</v>
      </c>
      <c r="L29" s="15" t="n">
        <v>45969</v>
      </c>
      <c r="M29" s="77" t="inlineStr">
        <is>
          <t>Neurociências</t>
        </is>
      </c>
      <c r="N29" s="77" t="inlineStr">
        <is>
          <t>Juneve</t>
        </is>
      </c>
      <c r="O29" s="77" t="inlineStr">
        <is>
          <t>Paula Almeida</t>
        </is>
      </c>
      <c r="P29" s="77" t="inlineStr">
        <is>
          <t>Rio de Janeiro</t>
        </is>
      </c>
      <c r="Q29" s="77" t="inlineStr">
        <is>
          <t>Presencial</t>
        </is>
      </c>
      <c r="R29" s="77" t="n"/>
      <c r="S29" s="77" t="inlineStr">
        <is>
          <t>Riocentro</t>
        </is>
      </c>
      <c r="T29" s="77" t="inlineStr">
        <is>
          <t>Incentivare</t>
        </is>
      </c>
      <c r="U29" s="77" t="inlineStr">
        <is>
          <t>n/a</t>
        </is>
      </c>
      <c r="V29" s="77" t="inlineStr">
        <is>
          <t>Associação Brasileira de Psiquiatria</t>
        </is>
      </c>
      <c r="W29" s="14" t="inlineStr">
        <is>
          <t>Stand Padrão</t>
        </is>
      </c>
      <c r="X29" s="14" t="n"/>
      <c r="Y29" s="14" t="n"/>
      <c r="Z29" s="77" t="n"/>
    </row>
    <row r="30" ht="20.25" customHeight="1" s="100">
      <c r="A30" s="76" t="n">
        <v>27</v>
      </c>
      <c r="B30" s="76" t="inlineStr">
        <is>
          <t>EM-034251</t>
        </is>
      </c>
      <c r="C30" s="76" t="n"/>
      <c r="D30" s="76" t="inlineStr">
        <is>
          <t>XLII CBP - Congresso Brasileiro de Psiquiatria (APOIO)</t>
        </is>
      </c>
      <c r="E30" s="76" t="inlineStr">
        <is>
          <t>Apoio</t>
        </is>
      </c>
      <c r="F30" s="76" t="inlineStr">
        <is>
          <t>EM-034251</t>
        </is>
      </c>
      <c r="G30" s="10" t="inlineStr">
        <is>
          <t>Realizado</t>
        </is>
      </c>
      <c r="H30" s="11" t="inlineStr">
        <is>
          <t>Encerrada</t>
        </is>
      </c>
      <c r="I30" s="76" t="inlineStr">
        <is>
          <t>2025</t>
        </is>
      </c>
      <c r="J30" s="76" t="inlineStr">
        <is>
          <t>Q4 2025</t>
        </is>
      </c>
      <c r="K30" s="12" t="n">
        <v>45966</v>
      </c>
      <c r="L30" s="12" t="n">
        <v>45969</v>
      </c>
      <c r="M30" s="76" t="inlineStr">
        <is>
          <t>Neurociências</t>
        </is>
      </c>
      <c r="N30" s="76" t="inlineStr">
        <is>
          <t>Juneve</t>
        </is>
      </c>
      <c r="O30" s="76" t="inlineStr">
        <is>
          <t>Paula Almeida</t>
        </is>
      </c>
      <c r="P30" s="76" t="inlineStr">
        <is>
          <t>Rio de Janeiro</t>
        </is>
      </c>
      <c r="Q30" s="76" t="inlineStr">
        <is>
          <t>Presencial</t>
        </is>
      </c>
      <c r="R30" s="76" t="n"/>
      <c r="S30" s="76" t="inlineStr">
        <is>
          <t>Riocentro</t>
        </is>
      </c>
      <c r="T30" s="76" t="n"/>
      <c r="U30" s="76" t="n"/>
      <c r="V30" s="76" t="inlineStr">
        <is>
          <t>Associação Brasileira de Psiquiatria</t>
        </is>
      </c>
      <c r="W30" s="11" t="inlineStr">
        <is>
          <t>N/A</t>
        </is>
      </c>
      <c r="X30" s="11" t="n">
        <v>80</v>
      </c>
      <c r="Y30" s="11" t="n"/>
      <c r="Z30" s="76" t="n"/>
    </row>
    <row r="31" ht="20.25" customHeight="1" s="100">
      <c r="A31" s="77" t="n">
        <v>28</v>
      </c>
      <c r="B31" s="77" t="inlineStr">
        <is>
          <t>EM-034868</t>
        </is>
      </c>
      <c r="C31" s="77" t="n"/>
      <c r="D31" s="77" t="inlineStr">
        <is>
          <t>WEBINAR TDAH 11.11</t>
        </is>
      </c>
      <c r="E31" s="77" t="inlineStr">
        <is>
          <t>TOME/Advisory</t>
        </is>
      </c>
      <c r="F31" s="77" t="inlineStr">
        <is>
          <t>EM-034868</t>
        </is>
      </c>
      <c r="G31" s="10" t="inlineStr">
        <is>
          <t>Realizado</t>
        </is>
      </c>
      <c r="H31" s="14" t="inlineStr">
        <is>
          <t>Encerrada</t>
        </is>
      </c>
      <c r="I31" s="77" t="inlineStr">
        <is>
          <t>2025</t>
        </is>
      </c>
      <c r="J31" s="77" t="inlineStr">
        <is>
          <t>Q4 2025</t>
        </is>
      </c>
      <c r="K31" s="15" t="n">
        <v>45972</v>
      </c>
      <c r="L31" s="15" t="n">
        <v>45972</v>
      </c>
      <c r="M31" s="77" t="inlineStr">
        <is>
          <t>Neurociências</t>
        </is>
      </c>
      <c r="N31" s="77" t="inlineStr">
        <is>
          <t>Juneve</t>
        </is>
      </c>
      <c r="O31" s="77" t="inlineStr">
        <is>
          <t>Paula Almeida</t>
        </is>
      </c>
      <c r="P31" s="77" t="inlineStr">
        <is>
          <t>Virtual</t>
        </is>
      </c>
      <c r="Q31" s="77" t="inlineStr">
        <is>
          <t>Virtual</t>
        </is>
      </c>
      <c r="R31" s="77" t="n"/>
      <c r="S31" s="77" t="inlineStr">
        <is>
          <t>Virtual</t>
        </is>
      </c>
      <c r="T31" s="77" t="inlineStr">
        <is>
          <t>Incentivare</t>
        </is>
      </c>
      <c r="U31" s="77" t="inlineStr">
        <is>
          <t>-</t>
        </is>
      </c>
      <c r="V31" s="77" t="inlineStr">
        <is>
          <t>-</t>
        </is>
      </c>
      <c r="W31" s="14" t="inlineStr">
        <is>
          <t>N/A</t>
        </is>
      </c>
      <c r="X31" s="14" t="n"/>
      <c r="Y31" s="14" t="n"/>
      <c r="Z31" s="77" t="inlineStr">
        <is>
          <t>Tema do evento: Evento virtual da Takeda sobre TDAH que será realizado no dia 11 de Novembro de 2025.</t>
        </is>
      </c>
    </row>
    <row r="32" ht="20.25" customHeight="1" s="100">
      <c r="A32" s="76" t="n">
        <v>29</v>
      </c>
      <c r="B32" s="76" t="inlineStr">
        <is>
          <t>EM-034861</t>
        </is>
      </c>
      <c r="C32" s="76" t="n"/>
      <c r="D32" s="76" t="inlineStr">
        <is>
          <t>21º Congresso Brasileiro de Medicina do Sono - 2025</t>
        </is>
      </c>
      <c r="E32" s="76" t="inlineStr">
        <is>
          <t>Apoio</t>
        </is>
      </c>
      <c r="F32" s="76" t="inlineStr">
        <is>
          <t>EM-034861</t>
        </is>
      </c>
      <c r="G32" s="10" t="inlineStr">
        <is>
          <t>Realizado</t>
        </is>
      </c>
      <c r="H32" s="11" t="inlineStr">
        <is>
          <t>aprovada</t>
        </is>
      </c>
      <c r="I32" s="76" t="inlineStr">
        <is>
          <t>2025</t>
        </is>
      </c>
      <c r="J32" s="76" t="inlineStr">
        <is>
          <t>Q4 2025</t>
        </is>
      </c>
      <c r="K32" s="12" t="n">
        <v>45995</v>
      </c>
      <c r="L32" s="12" t="n">
        <v>45997</v>
      </c>
      <c r="M32" s="76" t="inlineStr">
        <is>
          <t>Neurociências</t>
        </is>
      </c>
      <c r="N32" s="76" t="inlineStr">
        <is>
          <t>Oveporexton</t>
        </is>
      </c>
      <c r="O32" s="76" t="inlineStr">
        <is>
          <t>Bianca Facas</t>
        </is>
      </c>
      <c r="P32" s="76" t="inlineStr">
        <is>
          <t>Salvador</t>
        </is>
      </c>
      <c r="Q32" s="76" t="inlineStr">
        <is>
          <t>Presencial</t>
        </is>
      </c>
      <c r="R32" s="76" t="n"/>
      <c r="S32" s="76" t="inlineStr">
        <is>
          <t>Centro de Convenções de Salvador</t>
        </is>
      </c>
      <c r="T32" s="76" t="inlineStr">
        <is>
          <t>Opus</t>
        </is>
      </c>
      <c r="U32" s="76" t="inlineStr">
        <is>
          <t>-</t>
        </is>
      </c>
      <c r="V32" s="76" t="n"/>
      <c r="W32" s="11" t="inlineStr">
        <is>
          <t>N/A</t>
        </is>
      </c>
      <c r="X32" s="11" t="n">
        <v>1</v>
      </c>
      <c r="Y32" s="11" t="n"/>
      <c r="Z32" s="76" t="n"/>
    </row>
    <row r="33" ht="20.25" customHeight="1" s="100">
      <c r="A33" s="77" t="n">
        <v>30</v>
      </c>
      <c r="B33" s="77" t="inlineStr">
        <is>
          <t>EM-035068</t>
        </is>
      </c>
      <c r="C33" s="77" t="n"/>
      <c r="D33" s="77" t="inlineStr">
        <is>
          <t>Advisory Board Narcolepsia Medical/Market Access</t>
        </is>
      </c>
      <c r="E33" s="77" t="inlineStr">
        <is>
          <t>TOME/Advisory</t>
        </is>
      </c>
      <c r="F33" s="77" t="inlineStr">
        <is>
          <t>EM-035068</t>
        </is>
      </c>
      <c r="G33" s="10" t="inlineStr">
        <is>
          <t>Realizado</t>
        </is>
      </c>
      <c r="H33" s="14" t="inlineStr">
        <is>
          <t>aprovada</t>
        </is>
      </c>
      <c r="I33" s="77" t="inlineStr">
        <is>
          <t>2025</t>
        </is>
      </c>
      <c r="J33" s="77" t="inlineStr">
        <is>
          <t>Q4 2025</t>
        </is>
      </c>
      <c r="K33" s="15" t="n">
        <v>46003</v>
      </c>
      <c r="L33" s="15" t="n">
        <v>46003</v>
      </c>
      <c r="M33" s="77" t="inlineStr">
        <is>
          <t>Neurociências</t>
        </is>
      </c>
      <c r="N33" s="77" t="inlineStr">
        <is>
          <t>Oveporexton</t>
        </is>
      </c>
      <c r="O33" s="77" t="inlineStr">
        <is>
          <t>Bianca Facas</t>
        </is>
      </c>
      <c r="P33" s="77" t="inlineStr">
        <is>
          <t>São Paulo</t>
        </is>
      </c>
      <c r="Q33" s="77" t="inlineStr">
        <is>
          <t>Presencial</t>
        </is>
      </c>
      <c r="R33" s="77" t="n"/>
      <c r="S33" s="77" t="inlineStr">
        <is>
          <t>Takeda</t>
        </is>
      </c>
      <c r="T33" s="77" t="inlineStr">
        <is>
          <t>Opus</t>
        </is>
      </c>
      <c r="U33" s="77" t="inlineStr">
        <is>
          <t>-</t>
        </is>
      </c>
      <c r="V33" s="77" t="inlineStr">
        <is>
          <t>-</t>
        </is>
      </c>
      <c r="W33" s="14" t="inlineStr">
        <is>
          <t>N/A</t>
        </is>
      </c>
      <c r="X33" s="14" t="n">
        <v>9</v>
      </c>
      <c r="Y33" s="14" t="n"/>
      <c r="Z33" s="77" t="inlineStr">
        <is>
          <t>EM-034666 - EM cancelada</t>
        </is>
      </c>
    </row>
    <row r="34" ht="20.25" customHeight="1" s="100">
      <c r="A34" s="76" t="n">
        <v>31</v>
      </c>
      <c r="B34" s="76" t="inlineStr">
        <is>
          <t>EM-032441</t>
        </is>
      </c>
      <c r="C34" s="76" t="n"/>
      <c r="D34" s="76" t="inlineStr">
        <is>
          <t>FÓRUM ACESSO 2026</t>
        </is>
      </c>
      <c r="E34" s="76" t="inlineStr">
        <is>
          <t>TOME/Advisory</t>
        </is>
      </c>
      <c r="F34" s="76" t="inlineStr">
        <is>
          <t>EM-032441</t>
        </is>
      </c>
      <c r="G34" s="10" t="inlineStr">
        <is>
          <t>Realizado</t>
        </is>
      </c>
      <c r="H34" s="11" t="inlineStr">
        <is>
          <t>aprovada</t>
        </is>
      </c>
      <c r="I34" s="76" t="inlineStr">
        <is>
          <t>2026</t>
        </is>
      </c>
      <c r="J34" s="76" t="inlineStr">
        <is>
          <t>Q1 2026</t>
        </is>
      </c>
      <c r="K34" s="12" t="n">
        <v>46101</v>
      </c>
      <c r="L34" s="12" t="n">
        <v>46102</v>
      </c>
      <c r="M34" s="76" t="inlineStr">
        <is>
          <t>Acesso</t>
        </is>
      </c>
      <c r="N34" s="76" t="inlineStr">
        <is>
          <t>Rateio</t>
        </is>
      </c>
      <c r="O34" s="76" t="inlineStr">
        <is>
          <t>Janaína Silva</t>
        </is>
      </c>
      <c r="P34" s="76" t="inlineStr">
        <is>
          <t>São Paulo</t>
        </is>
      </c>
      <c r="Q34" s="76" t="inlineStr">
        <is>
          <t>Presencial</t>
        </is>
      </c>
      <c r="R34" s="76" t="inlineStr">
        <is>
          <t>Alta</t>
        </is>
      </c>
      <c r="S34" s="76" t="inlineStr">
        <is>
          <t>Estamplaza Berrini</t>
        </is>
      </c>
      <c r="T34" s="76" t="inlineStr">
        <is>
          <t>OPUS</t>
        </is>
      </c>
      <c r="U34" s="76" t="inlineStr">
        <is>
          <t>Estamplaza Berrini</t>
        </is>
      </c>
      <c r="V34" s="76" t="inlineStr">
        <is>
          <t>-</t>
        </is>
      </c>
      <c r="W34" s="11" t="inlineStr">
        <is>
          <t>-</t>
        </is>
      </c>
      <c r="X34" s="11" t="n">
        <v>70</v>
      </c>
      <c r="Y34" s="11" t="n">
        <v>58</v>
      </c>
      <c r="Z34" s="76" t="n"/>
    </row>
    <row r="35" ht="20.25" customHeight="1" s="100">
      <c r="A35" s="77" t="n">
        <v>32</v>
      </c>
      <c r="B35" s="77" t="inlineStr">
        <is>
          <t>EM-036028</t>
        </is>
      </c>
      <c r="C35" s="77" t="n"/>
      <c r="D35" s="77" t="inlineStr">
        <is>
          <t>FORUM NACIONAL DE ACESSO GEDIIB BRASÍLIA</t>
        </is>
      </c>
      <c r="E35" s="77" t="inlineStr">
        <is>
          <t>Cota</t>
        </is>
      </c>
      <c r="F35" s="77" t="inlineStr">
        <is>
          <t>EM-036028</t>
        </is>
      </c>
      <c r="G35" s="10" t="inlineStr">
        <is>
          <t>Realizado</t>
        </is>
      </c>
      <c r="H35" s="14" t="inlineStr">
        <is>
          <t>aprovada</t>
        </is>
      </c>
      <c r="I35" s="77" t="inlineStr">
        <is>
          <t>2026</t>
        </is>
      </c>
      <c r="J35" s="77" t="inlineStr">
        <is>
          <t>Q2 2026</t>
        </is>
      </c>
      <c r="K35" s="15" t="n">
        <v>46148</v>
      </c>
      <c r="L35" s="15" t="n">
        <v>46148</v>
      </c>
      <c r="M35" s="77" t="inlineStr">
        <is>
          <t>Acesso</t>
        </is>
      </c>
      <c r="N35" s="77" t="inlineStr">
        <is>
          <t>Rateio</t>
        </is>
      </c>
      <c r="O35" s="77" t="inlineStr">
        <is>
          <t>Janaína Silva</t>
        </is>
      </c>
      <c r="P35" s="77" t="inlineStr">
        <is>
          <t>Brasília</t>
        </is>
      </c>
      <c r="Q35" s="77" t="inlineStr">
        <is>
          <t>Presencial</t>
        </is>
      </c>
      <c r="R35" s="77" t="inlineStr">
        <is>
          <t>Baixa</t>
        </is>
      </c>
      <c r="S35" s="77" t="inlineStr">
        <is>
          <t>Auditório Brasil 21 Brasilia</t>
        </is>
      </c>
      <c r="T35" s="77" t="inlineStr">
        <is>
          <t>OPUS</t>
        </is>
      </c>
      <c r="U35" s="77" t="inlineStr">
        <is>
          <t>não haverá</t>
        </is>
      </c>
      <c r="V35" s="77" t="n"/>
      <c r="W35" s="14" t="inlineStr">
        <is>
          <t>-</t>
        </is>
      </c>
      <c r="X35" s="14" t="n">
        <v>0</v>
      </c>
      <c r="Y35" s="14" t="n">
        <v>0</v>
      </c>
      <c r="Z35" s="77" t="n"/>
    </row>
    <row r="36" ht="20.25" customHeight="1" s="100">
      <c r="A36" s="76" t="n">
        <v>33</v>
      </c>
      <c r="B36" s="76" t="inlineStr">
        <is>
          <t>EM-035470</t>
        </is>
      </c>
      <c r="C36" s="76" t="n"/>
      <c r="D36" s="76" t="inlineStr">
        <is>
          <t>XXIII Congresso Paulista de Medicina do sono 2026</t>
        </is>
      </c>
      <c r="E36" s="76" t="inlineStr">
        <is>
          <t>Cota</t>
        </is>
      </c>
      <c r="F36" s="76" t="inlineStr">
        <is>
          <t>EM-035470</t>
        </is>
      </c>
      <c r="G36" s="10" t="inlineStr">
        <is>
          <t>Realizado</t>
        </is>
      </c>
      <c r="H36" s="11" t="inlineStr">
        <is>
          <t>aprovada</t>
        </is>
      </c>
      <c r="I36" s="76" t="inlineStr">
        <is>
          <t>2026</t>
        </is>
      </c>
      <c r="J36" s="76" t="inlineStr">
        <is>
          <t>Q2 2026</t>
        </is>
      </c>
      <c r="K36" s="12" t="n">
        <v>46171</v>
      </c>
      <c r="L36" s="12" t="n">
        <v>46172</v>
      </c>
      <c r="M36" s="76" t="inlineStr">
        <is>
          <t>Neurociências</t>
        </is>
      </c>
      <c r="N36" s="76" t="inlineStr">
        <is>
          <t>Oveporexton</t>
        </is>
      </c>
      <c r="O36" s="76" t="inlineStr">
        <is>
          <t>Bianca Facas</t>
        </is>
      </c>
      <c r="P36" s="76" t="inlineStr">
        <is>
          <t>São Paulo</t>
        </is>
      </c>
      <c r="Q36" s="76" t="inlineStr">
        <is>
          <t>Presencial</t>
        </is>
      </c>
      <c r="R36" s="76" t="inlineStr">
        <is>
          <t>Alta</t>
        </is>
      </c>
      <c r="S36" s="76" t="inlineStr">
        <is>
          <t>Center 3 - Avenida Paulista</t>
        </is>
      </c>
      <c r="T36" s="76" t="inlineStr">
        <is>
          <t>Incentivare</t>
        </is>
      </c>
      <c r="U36" s="76" t="inlineStr">
        <is>
          <t>não haverá</t>
        </is>
      </c>
      <c r="V36" s="76" t="inlineStr">
        <is>
          <t>APM – Associação Paulista de Medicina</t>
        </is>
      </c>
      <c r="W36" s="11" t="inlineStr">
        <is>
          <t>9m²</t>
        </is>
      </c>
      <c r="X36" s="11" t="n">
        <v>0</v>
      </c>
      <c r="Y36" s="11" t="n">
        <v>0</v>
      </c>
      <c r="Z36" s="76" t="inlineStr">
        <is>
          <t>Recebido contrato em 23.02 e encaminhado ao jurídico Takeda
Contrato está em análise da associação
buffete simpósio e stand enviado p/ Boutique e Lu festas
Stand enviado para Poli e Jardim</t>
        </is>
      </c>
    </row>
    <row r="37" ht="20.25" customHeight="1" s="100">
      <c r="A37" s="77" t="n">
        <v>34</v>
      </c>
      <c r="B37" s="77" t="inlineStr">
        <is>
          <t>EM-036101</t>
        </is>
      </c>
      <c r="C37" s="77" t="n"/>
      <c r="D37" s="77" t="inlineStr">
        <is>
          <t>XXIII Congresso Paulista de Medicina do sono 2026</t>
        </is>
      </c>
      <c r="E37" s="77" t="inlineStr">
        <is>
          <t>Simpósio</t>
        </is>
      </c>
      <c r="F37" s="77" t="inlineStr">
        <is>
          <t>EM-036101</t>
        </is>
      </c>
      <c r="G37" s="10" t="inlineStr">
        <is>
          <t>Realizado</t>
        </is>
      </c>
      <c r="H37" s="14" t="inlineStr">
        <is>
          <t>aprovada</t>
        </is>
      </c>
      <c r="I37" s="77" t="inlineStr">
        <is>
          <t>2026</t>
        </is>
      </c>
      <c r="J37" s="77" t="inlineStr">
        <is>
          <t>Q2 2026</t>
        </is>
      </c>
      <c r="K37" s="15" t="n">
        <v>46171</v>
      </c>
      <c r="L37" s="15" t="n">
        <v>46171</v>
      </c>
      <c r="M37" s="77" t="inlineStr">
        <is>
          <t>Neurociências</t>
        </is>
      </c>
      <c r="N37" s="77" t="inlineStr">
        <is>
          <t>Oveporexton</t>
        </is>
      </c>
      <c r="O37" s="77" t="inlineStr">
        <is>
          <t>Bianca Facas</t>
        </is>
      </c>
      <c r="P37" s="77" t="inlineStr">
        <is>
          <t>São Paulo</t>
        </is>
      </c>
      <c r="Q37" s="77" t="inlineStr">
        <is>
          <t>Presencial</t>
        </is>
      </c>
      <c r="R37" s="77" t="n"/>
      <c r="S37" s="77" t="inlineStr">
        <is>
          <t>Center 3 - Avenida Paulista</t>
        </is>
      </c>
      <c r="T37" s="77" t="inlineStr">
        <is>
          <t>Incentivare</t>
        </is>
      </c>
      <c r="U37" s="77" t="inlineStr">
        <is>
          <t>não haverá</t>
        </is>
      </c>
      <c r="V37" s="77" t="inlineStr">
        <is>
          <t>APM – Associação Paulista de Medicina</t>
        </is>
      </c>
      <c r="W37" s="14" t="inlineStr">
        <is>
          <t>-</t>
        </is>
      </c>
      <c r="X37" s="14" t="n">
        <v>600</v>
      </c>
      <c r="Y37" s="14" t="n"/>
      <c r="Z37" s="77" t="n"/>
    </row>
    <row r="38" ht="20.25" customHeight="1" s="100">
      <c r="A38" s="76" t="n">
        <v>35</v>
      </c>
      <c r="B38" s="76" t="inlineStr">
        <is>
          <t>EM-036385</t>
        </is>
      </c>
      <c r="C38" s="76" t="n"/>
      <c r="D38" s="76" t="inlineStr">
        <is>
          <t>XXIII Congresso Paulista de Medicina do sono 2026</t>
        </is>
      </c>
      <c r="E38" s="76" t="inlineStr">
        <is>
          <t>Apoio</t>
        </is>
      </c>
      <c r="F38" s="76" t="inlineStr">
        <is>
          <t>EM-036385</t>
        </is>
      </c>
      <c r="G38" s="10" t="inlineStr">
        <is>
          <t>Realizado</t>
        </is>
      </c>
      <c r="H38" s="11" t="inlineStr">
        <is>
          <t>aprovada</t>
        </is>
      </c>
      <c r="I38" s="76" t="inlineStr">
        <is>
          <t>2026</t>
        </is>
      </c>
      <c r="J38" s="76" t="inlineStr">
        <is>
          <t>Q2 2026</t>
        </is>
      </c>
      <c r="K38" s="12" t="n">
        <v>46171</v>
      </c>
      <c r="L38" s="12" t="n">
        <v>46172</v>
      </c>
      <c r="M38" s="76" t="inlineStr">
        <is>
          <t>Neurociências</t>
        </is>
      </c>
      <c r="N38" s="76" t="inlineStr">
        <is>
          <t>Oveporexton</t>
        </is>
      </c>
      <c r="O38" s="76" t="inlineStr">
        <is>
          <t>Bianca Facas</t>
        </is>
      </c>
      <c r="P38" s="76" t="inlineStr">
        <is>
          <t>São Paulo</t>
        </is>
      </c>
      <c r="Q38" s="76" t="inlineStr">
        <is>
          <t>Presencial</t>
        </is>
      </c>
      <c r="R38" s="76" t="n"/>
      <c r="S38" s="76" t="inlineStr">
        <is>
          <t>Center 3 - Avenida Paulista</t>
        </is>
      </c>
      <c r="T38" s="76" t="inlineStr">
        <is>
          <t>Incentivare</t>
        </is>
      </c>
      <c r="U38" s="76" t="inlineStr">
        <is>
          <t>não haverá</t>
        </is>
      </c>
      <c r="V38" s="76" t="inlineStr">
        <is>
          <t>APM – Associação Paulista de Medicina</t>
        </is>
      </c>
      <c r="W38" s="11" t="inlineStr">
        <is>
          <t>-</t>
        </is>
      </c>
      <c r="X38" s="11" t="n">
        <v>1</v>
      </c>
      <c r="Y38" s="11" t="n"/>
      <c r="Z38" s="76" t="n"/>
    </row>
    <row r="39" ht="20.25" customHeight="1" s="100">
      <c r="A39" s="77" t="n">
        <v>36</v>
      </c>
      <c r="B39" s="77" t="inlineStr">
        <is>
          <t>EM-035749</t>
        </is>
      </c>
      <c r="C39" s="77" t="n"/>
      <c r="D39" s="77" t="inlineStr">
        <is>
          <t>BRAIN 2026</t>
        </is>
      </c>
      <c r="E39" s="77" t="inlineStr">
        <is>
          <t>Cota</t>
        </is>
      </c>
      <c r="F39" s="77" t="inlineStr">
        <is>
          <t>EM-035749</t>
        </is>
      </c>
      <c r="G39" s="10" t="inlineStr">
        <is>
          <t>Realizado</t>
        </is>
      </c>
      <c r="H39" s="14" t="inlineStr">
        <is>
          <t>aprovada</t>
        </is>
      </c>
      <c r="I39" s="77" t="inlineStr">
        <is>
          <t>2026</t>
        </is>
      </c>
      <c r="J39" s="77" t="inlineStr">
        <is>
          <t>Q2 2026</t>
        </is>
      </c>
      <c r="K39" s="15" t="n">
        <v>46176</v>
      </c>
      <c r="L39" s="15" t="n">
        <v>46179</v>
      </c>
      <c r="M39" s="77" t="inlineStr">
        <is>
          <t>Neurociências</t>
        </is>
      </c>
      <c r="N39" s="77" t="inlineStr">
        <is>
          <t>Juneve</t>
        </is>
      </c>
      <c r="O39" s="77" t="inlineStr">
        <is>
          <t>Pablo Oliveira</t>
        </is>
      </c>
      <c r="P39" s="77" t="inlineStr">
        <is>
          <t>Porto Alegre</t>
        </is>
      </c>
      <c r="Q39" s="77" t="inlineStr">
        <is>
          <t>Presencial</t>
        </is>
      </c>
      <c r="R39" s="77" t="inlineStr">
        <is>
          <t>Alta</t>
        </is>
      </c>
      <c r="S39" s="77" t="inlineStr">
        <is>
          <t>Centro de Eventos FIERGS
Av. Assis Brasil, 8787 - Sarandi, Porto Alegre</t>
        </is>
      </c>
      <c r="T39" s="77" t="inlineStr">
        <is>
          <t>Incentivare</t>
        </is>
      </c>
      <c r="U39" s="77" t="inlineStr">
        <is>
          <t>Hilton, Manhatan, Park Plaza</t>
        </is>
      </c>
      <c r="V39" s="77" t="inlineStr">
        <is>
          <t>Instituto de Ciencias Integradas</t>
        </is>
      </c>
      <c r="W39" s="14" t="inlineStr">
        <is>
          <t>36m²</t>
        </is>
      </c>
      <c r="X39" s="14" t="n"/>
      <c r="Y39" s="14" t="n"/>
      <c r="Z39" s="77" t="inlineStr">
        <is>
          <t>Recurso FY25 Cota 
https://braincongress.com.br/brain2026</t>
        </is>
      </c>
    </row>
    <row r="40" ht="20.25" customHeight="1" s="100">
      <c r="A40" s="76" t="n">
        <v>37</v>
      </c>
      <c r="B40" s="76" t="inlineStr">
        <is>
          <t>EM-035757</t>
        </is>
      </c>
      <c r="C40" s="76" t="n"/>
      <c r="D40" s="76" t="inlineStr">
        <is>
          <t>BRAIN 2026</t>
        </is>
      </c>
      <c r="E40" s="76" t="inlineStr">
        <is>
          <t>Apoio</t>
        </is>
      </c>
      <c r="F40" s="76" t="inlineStr">
        <is>
          <t>EM-035757</t>
        </is>
      </c>
      <c r="G40" s="10" t="inlineStr">
        <is>
          <t>Realizado</t>
        </is>
      </c>
      <c r="H40" s="11" t="inlineStr">
        <is>
          <t>aprovada</t>
        </is>
      </c>
      <c r="I40" s="76" t="inlineStr">
        <is>
          <t>2026</t>
        </is>
      </c>
      <c r="J40" s="76" t="inlineStr">
        <is>
          <t>Q2 2026</t>
        </is>
      </c>
      <c r="K40" s="12" t="n">
        <v>46176</v>
      </c>
      <c r="L40" s="12" t="n">
        <v>46179</v>
      </c>
      <c r="M40" s="76" t="inlineStr">
        <is>
          <t>Neurociências</t>
        </is>
      </c>
      <c r="N40" s="76" t="inlineStr">
        <is>
          <t>Juneve</t>
        </is>
      </c>
      <c r="O40" s="76" t="inlineStr">
        <is>
          <t>Pablo Oliveira</t>
        </is>
      </c>
      <c r="P40" s="76" t="inlineStr">
        <is>
          <t>Porto Alegre</t>
        </is>
      </c>
      <c r="Q40" s="76" t="inlineStr">
        <is>
          <t>Presencial</t>
        </is>
      </c>
      <c r="R40" s="76" t="n"/>
      <c r="S40" s="76" t="inlineStr">
        <is>
          <t>Centro de Eventos FIERGS
Av. Assis Brasil, 8787 - Sarandi, Porto Alegre</t>
        </is>
      </c>
      <c r="T40" s="76" t="inlineStr">
        <is>
          <t>Incentivare</t>
        </is>
      </c>
      <c r="U40" s="76" t="n"/>
      <c r="V40" s="76" t="inlineStr">
        <is>
          <t>Instituto de Ciencias Integradas</t>
        </is>
      </c>
      <c r="W40" s="11" t="inlineStr">
        <is>
          <t>-</t>
        </is>
      </c>
      <c r="X40" s="11" t="n">
        <v>200</v>
      </c>
      <c r="Y40" s="11" t="n"/>
      <c r="Z40" s="76" t="n"/>
    </row>
    <row r="41" ht="20.25" customHeight="1" s="100">
      <c r="A41" s="77" t="n">
        <v>38</v>
      </c>
      <c r="B41" s="77" t="inlineStr">
        <is>
          <t>EM-036325</t>
        </is>
      </c>
      <c r="C41" s="77" t="n"/>
      <c r="D41" s="77" t="inlineStr">
        <is>
          <t>BRAIN 2026</t>
        </is>
      </c>
      <c r="E41" s="77" t="inlineStr">
        <is>
          <t>Simpósio</t>
        </is>
      </c>
      <c r="F41" s="77" t="inlineStr">
        <is>
          <t>EM-036325</t>
        </is>
      </c>
      <c r="G41" s="10" t="inlineStr">
        <is>
          <t>Realizado</t>
        </is>
      </c>
      <c r="H41" s="14" t="inlineStr">
        <is>
          <t>aprovada</t>
        </is>
      </c>
      <c r="I41" s="77" t="inlineStr">
        <is>
          <t>2026</t>
        </is>
      </c>
      <c r="J41" s="77" t="inlineStr">
        <is>
          <t>Q2 2026</t>
        </is>
      </c>
      <c r="K41" s="15" t="n">
        <v>46176</v>
      </c>
      <c r="L41" s="15" t="n">
        <v>46176</v>
      </c>
      <c r="M41" s="77" t="inlineStr">
        <is>
          <t>Raras</t>
        </is>
      </c>
      <c r="N41" s="77" t="inlineStr">
        <is>
          <t>Oveporexton</t>
        </is>
      </c>
      <c r="O41" s="77" t="inlineStr">
        <is>
          <t>Bianca Facas</t>
        </is>
      </c>
      <c r="P41" s="77" t="inlineStr">
        <is>
          <t>Porto Alegre</t>
        </is>
      </c>
      <c r="Q41" s="77" t="inlineStr">
        <is>
          <t>Presencial</t>
        </is>
      </c>
      <c r="R41" s="77" t="n"/>
      <c r="S41" s="77" t="inlineStr">
        <is>
          <t>Centro de Eventos FIERGS
Av. Assis Brasil, 8787 - Sarandi, Porto Alegre</t>
        </is>
      </c>
      <c r="T41" s="77" t="inlineStr">
        <is>
          <t>Incentivare</t>
        </is>
      </c>
      <c r="U41" s="77" t="n"/>
      <c r="V41" s="77" t="inlineStr">
        <is>
          <t>Instituto de Ciencias Integradas</t>
        </is>
      </c>
      <c r="W41" s="14" t="inlineStr">
        <is>
          <t>-</t>
        </is>
      </c>
      <c r="X41" s="14" t="n">
        <v>180</v>
      </c>
      <c r="Y41" s="14" t="n"/>
      <c r="Z41" s="77" t="n"/>
    </row>
    <row r="42" ht="20.25" customHeight="1" s="100">
      <c r="A42" s="76" t="n">
        <v>39</v>
      </c>
      <c r="B42" s="76" t="inlineStr">
        <is>
          <t>EM-036324</t>
        </is>
      </c>
      <c r="C42" s="76" t="n"/>
      <c r="D42" s="76" t="inlineStr">
        <is>
          <t>Board Review: XX Curso de Revisão em Hematologia e Hemoterapia</t>
        </is>
      </c>
      <c r="E42" s="76" t="inlineStr">
        <is>
          <t>Cota</t>
        </is>
      </c>
      <c r="F42" s="76" t="inlineStr">
        <is>
          <t>EM-036324</t>
        </is>
      </c>
      <c r="G42" s="16" t="inlineStr">
        <is>
          <t>a Realizar</t>
        </is>
      </c>
      <c r="H42" s="11" t="inlineStr">
        <is>
          <t>aprovada</t>
        </is>
      </c>
      <c r="I42" s="76" t="inlineStr">
        <is>
          <t>2026</t>
        </is>
      </c>
      <c r="J42" s="76" t="inlineStr">
        <is>
          <t>Q2 2026</t>
        </is>
      </c>
      <c r="K42" s="12" t="n">
        <v>46198</v>
      </c>
      <c r="L42" s="12" t="n">
        <v>46200</v>
      </c>
      <c r="M42" s="76" t="inlineStr">
        <is>
          <t>Acesso</t>
        </is>
      </c>
      <c r="N42" s="76" t="inlineStr">
        <is>
          <t>Adcetris</t>
        </is>
      </c>
      <c r="O42" s="76" t="inlineStr">
        <is>
          <t>Carla Gonçalves</t>
        </is>
      </c>
      <c r="P42" s="76" t="inlineStr">
        <is>
          <t>São Paulo</t>
        </is>
      </c>
      <c r="Q42" s="76" t="inlineStr">
        <is>
          <t>Presencial</t>
        </is>
      </c>
      <c r="R42" s="76" t="inlineStr">
        <is>
          <t>Baixa</t>
        </is>
      </c>
      <c r="S42" s="76" t="inlineStr">
        <is>
          <t>Hospital Albert Einstein</t>
        </is>
      </c>
      <c r="T42" s="76" t="inlineStr">
        <is>
          <t>OPUS</t>
        </is>
      </c>
      <c r="U42" s="76" t="inlineStr">
        <is>
          <t>-</t>
        </is>
      </c>
      <c r="V42" s="76" t="inlineStr">
        <is>
          <t>Hospital Albert Einstein</t>
        </is>
      </c>
      <c r="W42" s="11" t="inlineStr">
        <is>
          <t>4m²</t>
        </is>
      </c>
      <c r="X42" s="11" t="n"/>
      <c r="Y42" s="11" t="n"/>
      <c r="Z42" s="76" t="n"/>
    </row>
    <row r="43" ht="20.25" customHeight="1" s="100">
      <c r="A43" s="77" t="n">
        <v>40</v>
      </c>
      <c r="B43" s="77" t="inlineStr">
        <is>
          <t>EM-036270</t>
        </is>
      </c>
      <c r="C43" s="77" t="n"/>
      <c r="D43" s="77" t="inlineStr">
        <is>
          <t>CONASENS</t>
        </is>
      </c>
      <c r="E43" s="77" t="inlineStr">
        <is>
          <t>Cota</t>
        </is>
      </c>
      <c r="F43" s="77" t="inlineStr">
        <is>
          <t>EM-036270</t>
        </is>
      </c>
      <c r="G43" s="16" t="inlineStr">
        <is>
          <t>a Realizar</t>
        </is>
      </c>
      <c r="H43" s="14" t="inlineStr">
        <is>
          <t>aprovada</t>
        </is>
      </c>
      <c r="I43" s="77" t="inlineStr">
        <is>
          <t>2026</t>
        </is>
      </c>
      <c r="J43" s="77" t="inlineStr">
        <is>
          <t>Q3 2026</t>
        </is>
      </c>
      <c r="K43" s="15" t="n">
        <v>46215</v>
      </c>
      <c r="L43" s="15" t="n">
        <v>46218</v>
      </c>
      <c r="M43" s="77" t="inlineStr">
        <is>
          <t>Acesso</t>
        </is>
      </c>
      <c r="N43" s="77" t="inlineStr">
        <is>
          <t>Gov. Affairs</t>
        </is>
      </c>
      <c r="O43" s="77" t="inlineStr">
        <is>
          <t>Fabio Durante</t>
        </is>
      </c>
      <c r="P43" s="77" t="inlineStr">
        <is>
          <t>Porto Alegre</t>
        </is>
      </c>
      <c r="Q43" s="77" t="inlineStr">
        <is>
          <t>Presencial</t>
        </is>
      </c>
      <c r="R43" s="77" t="inlineStr">
        <is>
          <t>Média</t>
        </is>
      </c>
      <c r="S43" s="77" t="inlineStr">
        <is>
          <t>Centro de Eventos FIERGS
Av. Assis Brasil, 8787 - Sarandi, Porto Alegre</t>
        </is>
      </c>
      <c r="T43" s="77" t="inlineStr">
        <is>
          <t>OPUS</t>
        </is>
      </c>
      <c r="U43" s="77" t="n"/>
      <c r="V43" s="77" t="n"/>
      <c r="W43" s="14" t="inlineStr">
        <is>
          <t>24m²</t>
        </is>
      </c>
      <c r="X43" s="14" t="n"/>
      <c r="Y43" s="14" t="n"/>
      <c r="Z43" s="77" t="inlineStr">
        <is>
          <t>Cota Ouro</t>
        </is>
      </c>
    </row>
    <row r="44" ht="20.25" customHeight="1" s="100">
      <c r="A44" s="76" t="n">
        <v>41</v>
      </c>
      <c r="B44" s="76" t="inlineStr">
        <is>
          <t>EM-035706</t>
        </is>
      </c>
      <c r="C44" s="76" t="n"/>
      <c r="D44" s="76" t="inlineStr">
        <is>
          <t>APRENDER CRIANÇA</t>
        </is>
      </c>
      <c r="E44" s="76" t="inlineStr">
        <is>
          <t>Cota</t>
        </is>
      </c>
      <c r="F44" s="76" t="inlineStr">
        <is>
          <t>EM-035706</t>
        </is>
      </c>
      <c r="G44" s="16" t="inlineStr">
        <is>
          <t>a Realizar</t>
        </is>
      </c>
      <c r="H44" s="11" t="inlineStr">
        <is>
          <t>aprovada</t>
        </is>
      </c>
      <c r="I44" s="76" t="inlineStr">
        <is>
          <t>2026</t>
        </is>
      </c>
      <c r="J44" s="76" t="inlineStr">
        <is>
          <t>Q3 2026</t>
        </is>
      </c>
      <c r="K44" s="12" t="n">
        <v>46219</v>
      </c>
      <c r="L44" s="12" t="n">
        <v>46221</v>
      </c>
      <c r="M44" s="76" t="inlineStr">
        <is>
          <t>Neurociências</t>
        </is>
      </c>
      <c r="N44" s="76" t="inlineStr">
        <is>
          <t>Juneve</t>
        </is>
      </c>
      <c r="O44" s="76" t="inlineStr">
        <is>
          <t>Pablo Oliveira</t>
        </is>
      </c>
      <c r="P44" s="76" t="inlineStr">
        <is>
          <t>São Paulo</t>
        </is>
      </c>
      <c r="Q44" s="76" t="inlineStr">
        <is>
          <t>Presencial</t>
        </is>
      </c>
      <c r="R44" s="76" t="inlineStr">
        <is>
          <t>Baixa</t>
        </is>
      </c>
      <c r="S44" s="76" t="inlineStr">
        <is>
          <t>Distrito Anhembi - SP</t>
        </is>
      </c>
      <c r="T44" s="76" t="inlineStr">
        <is>
          <t>Incentivare</t>
        </is>
      </c>
      <c r="U44" s="76" t="n"/>
      <c r="V44" s="76" t="n"/>
      <c r="W44" s="11" t="inlineStr">
        <is>
          <t>-</t>
        </is>
      </c>
      <c r="X44" s="11" t="n">
        <v>0</v>
      </c>
      <c r="Y44" s="11" t="n"/>
      <c r="Z44" s="76" t="inlineStr">
        <is>
          <t>Recurso FY25 Cota 
https://aprendercrianca.com.br/</t>
        </is>
      </c>
    </row>
    <row r="45" ht="20.25" customHeight="1" s="100">
      <c r="A45" s="77" t="n">
        <v>42</v>
      </c>
      <c r="B45" s="77" t="inlineStr">
        <is>
          <t>EM-036170</t>
        </is>
      </c>
      <c r="C45" s="77" t="n"/>
      <c r="D45" s="77" t="inlineStr">
        <is>
          <t>APRENDER CRIANÇA</t>
        </is>
      </c>
      <c r="E45" s="77" t="inlineStr">
        <is>
          <t>Simpósio</t>
        </is>
      </c>
      <c r="F45" s="77" t="inlineStr">
        <is>
          <t>EM-036170</t>
        </is>
      </c>
      <c r="G45" s="16" t="inlineStr">
        <is>
          <t>a Realizar</t>
        </is>
      </c>
      <c r="H45" s="14" t="inlineStr">
        <is>
          <t>aprovada</t>
        </is>
      </c>
      <c r="I45" s="77" t="inlineStr">
        <is>
          <t>2026</t>
        </is>
      </c>
      <c r="J45" s="77" t="inlineStr">
        <is>
          <t>Q3 2026</t>
        </is>
      </c>
      <c r="K45" s="15" t="n">
        <v>46221</v>
      </c>
      <c r="L45" s="15" t="n">
        <v>46221</v>
      </c>
      <c r="M45" s="77" t="inlineStr">
        <is>
          <t>Neurociências</t>
        </is>
      </c>
      <c r="N45" s="77" t="inlineStr">
        <is>
          <t>Juneve</t>
        </is>
      </c>
      <c r="O45" s="77" t="inlineStr">
        <is>
          <t>Pablo Oliveira</t>
        </is>
      </c>
      <c r="P45" s="77" t="inlineStr">
        <is>
          <t>São Paulo</t>
        </is>
      </c>
      <c r="Q45" s="77" t="inlineStr">
        <is>
          <t>Presencial</t>
        </is>
      </c>
      <c r="R45" s="77" t="inlineStr">
        <is>
          <t>Média</t>
        </is>
      </c>
      <c r="S45" s="77" t="inlineStr">
        <is>
          <t>Distrito Anhembi - SP</t>
        </is>
      </c>
      <c r="T45" s="77" t="inlineStr">
        <is>
          <t>Incentivare</t>
        </is>
      </c>
      <c r="U45" s="77" t="n"/>
      <c r="V45" s="77" t="n"/>
      <c r="W45" s="14" t="inlineStr">
        <is>
          <t>-</t>
        </is>
      </c>
      <c r="X45" s="14" t="n">
        <v>800</v>
      </c>
      <c r="Y45" s="14" t="n"/>
      <c r="Z45" s="77" t="n"/>
    </row>
    <row r="46" ht="20.25" customHeight="1" s="100">
      <c r="A46" s="76" t="n">
        <v>43</v>
      </c>
      <c r="B46" s="76" t="inlineStr">
        <is>
          <t>EM-035721</t>
        </is>
      </c>
      <c r="C46" s="76" t="n"/>
      <c r="D46" s="76" t="inlineStr">
        <is>
          <t>MASTERCLASS 2026</t>
        </is>
      </c>
      <c r="E46" s="76" t="inlineStr">
        <is>
          <t>Cota</t>
        </is>
      </c>
      <c r="F46" s="76" t="inlineStr">
        <is>
          <t>EM-035721</t>
        </is>
      </c>
      <c r="G46" s="16" t="inlineStr">
        <is>
          <t>a Realizar</t>
        </is>
      </c>
      <c r="H46" s="11" t="inlineStr">
        <is>
          <t>solicitado</t>
        </is>
      </c>
      <c r="I46" s="76" t="inlineStr">
        <is>
          <t>2026</t>
        </is>
      </c>
      <c r="J46" s="76" t="inlineStr">
        <is>
          <t>Q3 2026</t>
        </is>
      </c>
      <c r="K46" s="12" t="n">
        <v>46275</v>
      </c>
      <c r="L46" s="12" t="n">
        <v>46277</v>
      </c>
      <c r="M46" s="76" t="inlineStr">
        <is>
          <t>Neurociências</t>
        </is>
      </c>
      <c r="N46" s="76" t="inlineStr">
        <is>
          <t>Juneve</t>
        </is>
      </c>
      <c r="O46" s="76" t="inlineStr">
        <is>
          <t>Pablo Oliveira</t>
        </is>
      </c>
      <c r="P46" s="76" t="inlineStr">
        <is>
          <t>São Paulo</t>
        </is>
      </c>
      <c r="Q46" s="76" t="inlineStr">
        <is>
          <t>Hibrido</t>
        </is>
      </c>
      <c r="R46" s="76" t="inlineStr">
        <is>
          <t>Alta</t>
        </is>
      </c>
      <c r="S46" s="76" t="inlineStr">
        <is>
          <t>Frei Caneca - Pavilhão 5</t>
        </is>
      </c>
      <c r="T46" s="76" t="inlineStr">
        <is>
          <t>Incentivare</t>
        </is>
      </c>
      <c r="U46" s="76" t="n"/>
      <c r="V46" s="76" t="n"/>
      <c r="W46" s="11" t="inlineStr">
        <is>
          <t>20m²</t>
        </is>
      </c>
      <c r="X46" s="11" t="n">
        <v>205</v>
      </c>
      <c r="Y46" s="11" t="n"/>
      <c r="Z46" s="76" t="inlineStr">
        <is>
          <t>https://cepp.org.br/eventos/</t>
        </is>
      </c>
    </row>
    <row r="47" ht="20.25" customHeight="1" s="100">
      <c r="A47" s="77" t="n">
        <v>44</v>
      </c>
      <c r="B47" s="77" t="inlineStr">
        <is>
          <t>PENDENTE</t>
        </is>
      </c>
      <c r="C47" s="77" t="n"/>
      <c r="D47" s="77" t="inlineStr">
        <is>
          <t>MASTERCLASS 2026 (Simpósio)</t>
        </is>
      </c>
      <c r="E47" s="77" t="inlineStr">
        <is>
          <t>Simpósio</t>
        </is>
      </c>
      <c r="F47" s="77" t="inlineStr">
        <is>
          <t>Pendente</t>
        </is>
      </c>
      <c r="G47" s="16" t="inlineStr">
        <is>
          <t>a Realizar</t>
        </is>
      </c>
      <c r="H47" s="14" t="inlineStr">
        <is>
          <t>pendente</t>
        </is>
      </c>
      <c r="I47" s="77" t="inlineStr">
        <is>
          <t>2026</t>
        </is>
      </c>
      <c r="J47" s="77" t="inlineStr">
        <is>
          <t>Q3 2026</t>
        </is>
      </c>
      <c r="K47" s="77" t="n"/>
      <c r="L47" s="77" t="n"/>
      <c r="M47" s="77" t="inlineStr">
        <is>
          <t>Neurociências</t>
        </is>
      </c>
      <c r="N47" s="77" t="inlineStr">
        <is>
          <t>Juneve</t>
        </is>
      </c>
      <c r="O47" s="77" t="inlineStr">
        <is>
          <t>Pablo Oliveira</t>
        </is>
      </c>
      <c r="P47" s="77" t="inlineStr">
        <is>
          <t>São Paulo</t>
        </is>
      </c>
      <c r="Q47" s="77" t="inlineStr">
        <is>
          <t>Hibrido</t>
        </is>
      </c>
      <c r="R47" s="77" t="inlineStr">
        <is>
          <t>Média</t>
        </is>
      </c>
      <c r="S47" s="77" t="inlineStr">
        <is>
          <t>Frei Caneca - Pavilhão 5</t>
        </is>
      </c>
      <c r="T47" s="77" t="inlineStr">
        <is>
          <t>Incentivare</t>
        </is>
      </c>
      <c r="U47" s="77" t="n"/>
      <c r="V47" s="77" t="n"/>
      <c r="W47" s="14" t="inlineStr">
        <is>
          <t>-</t>
        </is>
      </c>
      <c r="X47" s="14" t="n"/>
      <c r="Y47" s="14" t="n"/>
      <c r="Z47" s="77" t="n"/>
    </row>
    <row r="48" ht="20.25" customHeight="1" s="100">
      <c r="A48" s="76" t="n">
        <v>45</v>
      </c>
      <c r="B48" s="76" t="inlineStr">
        <is>
          <t>EM-036702</t>
        </is>
      </c>
      <c r="C48" s="76" t="n"/>
      <c r="D48" s="76" t="inlineStr">
        <is>
          <t>MASTERCLASS 2026</t>
        </is>
      </c>
      <c r="E48" s="76" t="inlineStr">
        <is>
          <t>Apoio</t>
        </is>
      </c>
      <c r="F48" s="76" t="inlineStr">
        <is>
          <t>EM-036702</t>
        </is>
      </c>
      <c r="G48" s="16" t="inlineStr">
        <is>
          <t>a Realizar</t>
        </is>
      </c>
      <c r="H48" s="11" t="inlineStr">
        <is>
          <t>pendente</t>
        </is>
      </c>
      <c r="I48" s="76" t="inlineStr">
        <is>
          <t>2026</t>
        </is>
      </c>
      <c r="J48" s="76" t="inlineStr">
        <is>
          <t>Q3 2026</t>
        </is>
      </c>
      <c r="K48" s="12" t="n">
        <v>46275</v>
      </c>
      <c r="L48" s="12" t="n">
        <v>46277</v>
      </c>
      <c r="M48" s="76" t="inlineStr">
        <is>
          <t>Neurociências</t>
        </is>
      </c>
      <c r="N48" s="76" t="inlineStr">
        <is>
          <t>Juneve</t>
        </is>
      </c>
      <c r="O48" s="76" t="inlineStr">
        <is>
          <t>Pablo Oliveira</t>
        </is>
      </c>
      <c r="P48" s="76" t="inlineStr">
        <is>
          <t>São Paulo</t>
        </is>
      </c>
      <c r="Q48" s="76" t="inlineStr">
        <is>
          <t>Hibrido</t>
        </is>
      </c>
      <c r="R48" s="76" t="inlineStr">
        <is>
          <t>Média</t>
        </is>
      </c>
      <c r="S48" s="76" t="inlineStr">
        <is>
          <t>Frei Caneca - Pavilhão 5</t>
        </is>
      </c>
      <c r="T48" s="76" t="inlineStr">
        <is>
          <t>Incentivare</t>
        </is>
      </c>
      <c r="U48" s="76" t="n"/>
      <c r="V48" s="76" t="n"/>
      <c r="W48" s="11" t="inlineStr">
        <is>
          <t>-</t>
        </is>
      </c>
      <c r="X48" s="11" t="n"/>
      <c r="Y48" s="11" t="n"/>
      <c r="Z48" s="76" t="n"/>
    </row>
    <row r="49" ht="20.25" customHeight="1" s="100">
      <c r="A49" s="77" t="n">
        <v>46</v>
      </c>
      <c r="B49" s="77" t="inlineStr">
        <is>
          <t>EM-033785</t>
        </is>
      </c>
      <c r="C49" s="17" t="inlineStr">
        <is>
          <t>⚠️ EM dup.</t>
        </is>
      </c>
      <c r="D49" s="77" t="inlineStr">
        <is>
          <t>NEW FRONTIERS 2025 (COTA)</t>
        </is>
      </c>
      <c r="E49" s="77" t="inlineStr">
        <is>
          <t>Cota</t>
        </is>
      </c>
      <c r="F49" s="77" t="inlineStr">
        <is>
          <t>EM-033785</t>
        </is>
      </c>
      <c r="G49" s="16" t="inlineStr">
        <is>
          <t>a Realizar</t>
        </is>
      </c>
      <c r="H49" s="14" t="n"/>
      <c r="I49" s="77" t="inlineStr">
        <is>
          <t>2025</t>
        </is>
      </c>
      <c r="J49" s="77" t="inlineStr">
        <is>
          <t>Q3 2025</t>
        </is>
      </c>
      <c r="K49" s="15" t="n">
        <v>46283</v>
      </c>
      <c r="L49" s="15" t="n">
        <v>46284</v>
      </c>
      <c r="M49" s="77" t="inlineStr">
        <is>
          <t>Neurociências</t>
        </is>
      </c>
      <c r="N49" s="77" t="inlineStr">
        <is>
          <t>Juneve</t>
        </is>
      </c>
      <c r="O49" s="77" t="inlineStr">
        <is>
          <t>Pablo Oliveira</t>
        </is>
      </c>
      <c r="P49" s="77" t="inlineStr">
        <is>
          <t>São Paulo</t>
        </is>
      </c>
      <c r="Q49" s="77" t="inlineStr">
        <is>
          <t>Virtual</t>
        </is>
      </c>
      <c r="R49" s="77" t="inlineStr">
        <is>
          <t>Média</t>
        </is>
      </c>
      <c r="S49" s="77" t="inlineStr">
        <is>
          <t>Virtual</t>
        </is>
      </c>
      <c r="T49" s="77" t="inlineStr">
        <is>
          <t>-</t>
        </is>
      </c>
      <c r="U49" s="77" t="inlineStr">
        <is>
          <t>-</t>
        </is>
      </c>
      <c r="V49" s="77" t="inlineStr">
        <is>
          <t>Instituto de Ciências Integradas, Cultura e Eventos</t>
        </is>
      </c>
      <c r="W49" s="14" t="inlineStr">
        <is>
          <t>N/A</t>
        </is>
      </c>
      <c r="X49" s="14" t="n"/>
      <c r="Y49" s="14" t="n"/>
      <c r="Z49" s="77" t="inlineStr">
        <is>
          <t>EM-033762 Cancelada</t>
        </is>
      </c>
    </row>
    <row r="50" ht="20.25" customHeight="1" s="100">
      <c r="A50" s="76" t="n">
        <v>47</v>
      </c>
      <c r="B50" s="76" t="inlineStr">
        <is>
          <t>EM-036028</t>
        </is>
      </c>
      <c r="C50" s="17" t="inlineStr">
        <is>
          <t>⚠️ EM dup.</t>
        </is>
      </c>
      <c r="D50" s="76" t="inlineStr">
        <is>
          <t>FORUM NACIONAL DE ACESSO GEDIIB BH</t>
        </is>
      </c>
      <c r="E50" s="76" t="inlineStr">
        <is>
          <t>Cota</t>
        </is>
      </c>
      <c r="F50" s="76" t="inlineStr">
        <is>
          <t>EM-036028</t>
        </is>
      </c>
      <c r="G50" s="16" t="inlineStr">
        <is>
          <t>a Realizar</t>
        </is>
      </c>
      <c r="H50" s="11" t="inlineStr">
        <is>
          <t>aprovada</t>
        </is>
      </c>
      <c r="I50" s="76" t="inlineStr">
        <is>
          <t>2026</t>
        </is>
      </c>
      <c r="J50" s="76" t="inlineStr">
        <is>
          <t>Q4 2026</t>
        </is>
      </c>
      <c r="K50" s="12" t="n">
        <v>46303</v>
      </c>
      <c r="L50" s="12" t="n">
        <v>46303</v>
      </c>
      <c r="M50" s="76" t="inlineStr">
        <is>
          <t>Acesso</t>
        </is>
      </c>
      <c r="N50" s="107" t="inlineStr">
        <is>
          <t>Entyvio</t>
        </is>
      </c>
      <c r="O50" s="76" t="inlineStr">
        <is>
          <t>Janaína Silva</t>
        </is>
      </c>
      <c r="P50" s="76" t="inlineStr">
        <is>
          <t>Belo Horizonte</t>
        </is>
      </c>
      <c r="Q50" s="76" t="inlineStr">
        <is>
          <t>Presencial</t>
        </is>
      </c>
      <c r="R50" s="76" t="inlineStr">
        <is>
          <t>Baixa</t>
        </is>
      </c>
      <c r="S50" s="76" t="inlineStr">
        <is>
          <t>Auditório da Gastroenterologia do Hospital UFMG</t>
        </is>
      </c>
      <c r="T50" s="76" t="inlineStr">
        <is>
          <t>OPUS</t>
        </is>
      </c>
      <c r="U50" s="76" t="n"/>
      <c r="V50" s="76" t="n"/>
      <c r="W50" s="11" t="n"/>
      <c r="X50" s="11" t="n"/>
      <c r="Y50" s="11" t="n"/>
      <c r="Z50" s="76" t="n"/>
    </row>
    <row r="51" ht="20.25" customHeight="1" s="100">
      <c r="A51" s="77" t="n">
        <v>48</v>
      </c>
      <c r="B51" s="77" t="inlineStr">
        <is>
          <t>EM-035724</t>
        </is>
      </c>
      <c r="C51" s="77" t="n"/>
      <c r="D51" s="77" t="inlineStr">
        <is>
          <t>ABENEPI - VIII Congresso Internacional &amp; XXVIII Brasileiro da ABENEPI</t>
        </is>
      </c>
      <c r="E51" s="77" t="inlineStr">
        <is>
          <t>Cota</t>
        </is>
      </c>
      <c r="F51" s="77" t="inlineStr">
        <is>
          <t>EM-035724</t>
        </is>
      </c>
      <c r="G51" s="16" t="inlineStr">
        <is>
          <t>a Realizar</t>
        </is>
      </c>
      <c r="H51" s="14" t="inlineStr">
        <is>
          <t>aprovada</t>
        </is>
      </c>
      <c r="I51" s="77" t="inlineStr">
        <is>
          <t>2026</t>
        </is>
      </c>
      <c r="J51" s="77" t="inlineStr">
        <is>
          <t>Q4 2026</t>
        </is>
      </c>
      <c r="K51" s="15" t="n">
        <v>46323</v>
      </c>
      <c r="L51" s="15" t="n">
        <v>46326</v>
      </c>
      <c r="M51" s="77" t="inlineStr">
        <is>
          <t>Neurociências</t>
        </is>
      </c>
      <c r="N51" s="77" t="inlineStr">
        <is>
          <t>Juneve</t>
        </is>
      </c>
      <c r="O51" s="77" t="inlineStr">
        <is>
          <t>Pablo Oliveira</t>
        </is>
      </c>
      <c r="P51" s="77" t="inlineStr">
        <is>
          <t>Natal</t>
        </is>
      </c>
      <c r="Q51" s="77" t="inlineStr">
        <is>
          <t>Presencial</t>
        </is>
      </c>
      <c r="R51" s="77" t="inlineStr">
        <is>
          <t>Média</t>
        </is>
      </c>
      <c r="S51" s="77" t="inlineStr">
        <is>
          <t>Centro de Convenções de Natal - Natal/RN</t>
        </is>
      </c>
      <c r="T51" s="77" t="inlineStr">
        <is>
          <t>Incentivare</t>
        </is>
      </c>
      <c r="U51" s="77" t="n"/>
      <c r="V51" s="77" t="n"/>
      <c r="W51" s="14" t="inlineStr">
        <is>
          <t>15m²</t>
        </is>
      </c>
      <c r="X51" s="14" t="n">
        <v>20</v>
      </c>
      <c r="Y51" s="14" t="n"/>
      <c r="Z51" s="77" t="inlineStr">
        <is>
          <t>https://congressoabenepi2026.com.br/</t>
        </is>
      </c>
    </row>
    <row r="52" ht="20.25" customHeight="1" s="100">
      <c r="A52" s="76" t="n">
        <v>49</v>
      </c>
      <c r="B52" s="76" t="inlineStr">
        <is>
          <t>EM-035790</t>
        </is>
      </c>
      <c r="C52" s="76" t="n"/>
      <c r="D52" s="76" t="inlineStr">
        <is>
          <t>ABENEPI - VIII Congresso Internacional &amp; XXVIII Brasileiro da ABENEPI</t>
        </is>
      </c>
      <c r="E52" s="76" t="inlineStr">
        <is>
          <t>Apoio</t>
        </is>
      </c>
      <c r="F52" s="76" t="inlineStr">
        <is>
          <t>EM-035790</t>
        </is>
      </c>
      <c r="G52" s="16" t="inlineStr">
        <is>
          <t>a Realizar</t>
        </is>
      </c>
      <c r="H52" s="11" t="inlineStr">
        <is>
          <t>solicitado</t>
        </is>
      </c>
      <c r="I52" s="76" t="inlineStr">
        <is>
          <t>2026</t>
        </is>
      </c>
      <c r="J52" s="76" t="inlineStr">
        <is>
          <t>Q4 2026</t>
        </is>
      </c>
      <c r="K52" s="12" t="n">
        <v>46323</v>
      </c>
      <c r="L52" s="12" t="n">
        <v>46326</v>
      </c>
      <c r="M52" s="76" t="inlineStr">
        <is>
          <t>Neurociências</t>
        </is>
      </c>
      <c r="N52" s="76" t="inlineStr">
        <is>
          <t>Juneve</t>
        </is>
      </c>
      <c r="O52" s="76" t="inlineStr">
        <is>
          <t>Pablo Oliveira</t>
        </is>
      </c>
      <c r="P52" s="76" t="inlineStr">
        <is>
          <t>Natal</t>
        </is>
      </c>
      <c r="Q52" s="76" t="inlineStr">
        <is>
          <t>Presencial</t>
        </is>
      </c>
      <c r="R52" s="76" t="inlineStr">
        <is>
          <t>Média</t>
        </is>
      </c>
      <c r="S52" s="76" t="inlineStr">
        <is>
          <t>Centro de Convenções de Natal - Natal/RN</t>
        </is>
      </c>
      <c r="T52" s="76" t="inlineStr">
        <is>
          <t>Incentivare</t>
        </is>
      </c>
      <c r="U52" s="76" t="n"/>
      <c r="V52" s="76" t="n"/>
      <c r="W52" s="11" t="inlineStr">
        <is>
          <t>-</t>
        </is>
      </c>
      <c r="X52" s="11" t="n"/>
      <c r="Y52" s="11" t="n"/>
      <c r="Z52" s="76" t="n"/>
    </row>
    <row r="53" ht="20.25" customHeight="1" s="100">
      <c r="A53" s="77" t="n">
        <v>50</v>
      </c>
      <c r="B53" s="77" t="inlineStr">
        <is>
          <t>PENDENTE</t>
        </is>
      </c>
      <c r="C53" s="77" t="n"/>
      <c r="D53" s="77" t="inlineStr">
        <is>
          <t>WEBINAR</t>
        </is>
      </c>
      <c r="E53" s="77" t="inlineStr">
        <is>
          <t>TOME/Advisory</t>
        </is>
      </c>
      <c r="F53" s="77" t="inlineStr">
        <is>
          <t>Pendente</t>
        </is>
      </c>
      <c r="G53" s="16" t="inlineStr">
        <is>
          <t>a Realizar</t>
        </is>
      </c>
      <c r="H53" s="14" t="inlineStr">
        <is>
          <t>pendente</t>
        </is>
      </c>
      <c r="I53" s="77" t="inlineStr">
        <is>
          <t>2026</t>
        </is>
      </c>
      <c r="J53" s="77" t="n"/>
      <c r="K53" s="77" t="n"/>
      <c r="L53" s="77" t="n"/>
      <c r="M53" s="77" t="inlineStr">
        <is>
          <t>Neurociências</t>
        </is>
      </c>
      <c r="N53" s="77" t="inlineStr">
        <is>
          <t>Juneve</t>
        </is>
      </c>
      <c r="O53" s="77" t="inlineStr">
        <is>
          <t>Pablo Oliveira</t>
        </is>
      </c>
      <c r="P53" s="77" t="inlineStr">
        <is>
          <t>Virtual</t>
        </is>
      </c>
      <c r="Q53" s="77" t="inlineStr">
        <is>
          <t>Virtual</t>
        </is>
      </c>
      <c r="R53" s="77" t="inlineStr">
        <is>
          <t>Média</t>
        </is>
      </c>
      <c r="S53" s="77" t="n"/>
      <c r="T53" s="77" t="inlineStr">
        <is>
          <t>Incentivare</t>
        </is>
      </c>
      <c r="U53" s="77" t="n"/>
      <c r="V53" s="77" t="n"/>
      <c r="W53" s="14" t="inlineStr">
        <is>
          <t>-</t>
        </is>
      </c>
      <c r="X53" s="14" t="n"/>
      <c r="Y53" s="14" t="n"/>
      <c r="Z53" s="77" t="n"/>
    </row>
    <row r="54" ht="20.25" customHeight="1" s="100">
      <c r="A54" s="76" t="n">
        <v>51</v>
      </c>
      <c r="B54" s="76" t="inlineStr">
        <is>
          <t>PENDENTE</t>
        </is>
      </c>
      <c r="C54" s="76" t="n"/>
      <c r="D54" s="76" t="inlineStr">
        <is>
          <t>WEBINAR</t>
        </is>
      </c>
      <c r="E54" s="76" t="inlineStr">
        <is>
          <t>TOME/Advisory</t>
        </is>
      </c>
      <c r="F54" s="76" t="inlineStr">
        <is>
          <t>Pendente</t>
        </is>
      </c>
      <c r="G54" s="16" t="inlineStr">
        <is>
          <t>a Realizar</t>
        </is>
      </c>
      <c r="H54" s="11" t="inlineStr">
        <is>
          <t>pendente</t>
        </is>
      </c>
      <c r="I54" s="76" t="inlineStr">
        <is>
          <t>2026</t>
        </is>
      </c>
      <c r="J54" s="76" t="n"/>
      <c r="K54" s="76" t="n"/>
      <c r="L54" s="76" t="n"/>
      <c r="M54" s="76" t="inlineStr">
        <is>
          <t>Neurociências</t>
        </is>
      </c>
      <c r="N54" s="76" t="inlineStr">
        <is>
          <t>Juneve</t>
        </is>
      </c>
      <c r="O54" s="76" t="inlineStr">
        <is>
          <t>Pablo Oliveira</t>
        </is>
      </c>
      <c r="P54" s="76" t="inlineStr">
        <is>
          <t>Virtual</t>
        </is>
      </c>
      <c r="Q54" s="76" t="inlineStr">
        <is>
          <t>Virtual</t>
        </is>
      </c>
      <c r="R54" s="76" t="inlineStr">
        <is>
          <t>Média</t>
        </is>
      </c>
      <c r="S54" s="76" t="n"/>
      <c r="T54" s="76" t="inlineStr">
        <is>
          <t>Incentivare</t>
        </is>
      </c>
      <c r="U54" s="76" t="n"/>
      <c r="V54" s="76" t="n"/>
      <c r="W54" s="11" t="inlineStr">
        <is>
          <t>-</t>
        </is>
      </c>
      <c r="X54" s="11" t="n"/>
      <c r="Y54" s="11" t="n"/>
      <c r="Z54" s="76" t="n"/>
    </row>
    <row r="55" ht="20.25" customHeight="1" s="100">
      <c r="A55" s="77" t="n">
        <v>52</v>
      </c>
      <c r="B55" s="77" t="inlineStr">
        <is>
          <t>PENDENTE</t>
        </is>
      </c>
      <c r="C55" s="77" t="n"/>
      <c r="D55" s="77" t="inlineStr">
        <is>
          <t>Advisory Board Fruzaqla</t>
        </is>
      </c>
      <c r="E55" s="77" t="inlineStr">
        <is>
          <t>TOME/Advisory</t>
        </is>
      </c>
      <c r="F55" s="77" t="inlineStr">
        <is>
          <t>Pendente</t>
        </is>
      </c>
      <c r="G55" s="16" t="inlineStr">
        <is>
          <t>a Realizar</t>
        </is>
      </c>
      <c r="H55" s="14" t="inlineStr">
        <is>
          <t>pendente</t>
        </is>
      </c>
      <c r="I55" s="77" t="inlineStr">
        <is>
          <t>2026</t>
        </is>
      </c>
      <c r="J55" s="77" t="inlineStr">
        <is>
          <t>Q3 2026</t>
        </is>
      </c>
      <c r="K55" s="15" t="n">
        <v>46239</v>
      </c>
      <c r="L55" s="15" t="n">
        <v>46239</v>
      </c>
      <c r="M55" s="77" t="inlineStr">
        <is>
          <t>Acesso</t>
        </is>
      </c>
      <c r="N55" s="77" t="inlineStr">
        <is>
          <t>Fruzaqla</t>
        </is>
      </c>
      <c r="O55" s="77" t="inlineStr">
        <is>
          <t>Thaís Senna</t>
        </is>
      </c>
      <c r="P55" s="77" t="inlineStr">
        <is>
          <t>São Paulo</t>
        </is>
      </c>
      <c r="Q55" s="77" t="inlineStr">
        <is>
          <t>Presencial</t>
        </is>
      </c>
      <c r="R55" s="77" t="inlineStr">
        <is>
          <t>Baixa</t>
        </is>
      </c>
      <c r="S55" s="77" t="inlineStr">
        <is>
          <t>Takeda</t>
        </is>
      </c>
      <c r="T55" s="77" t="inlineStr">
        <is>
          <t>OPUS</t>
        </is>
      </c>
      <c r="U55" s="77" t="n"/>
      <c r="V55" s="77" t="n"/>
      <c r="W55" s="14" t="inlineStr">
        <is>
          <t>-</t>
        </is>
      </c>
      <c r="X55" s="14" t="n">
        <v>10</v>
      </c>
      <c r="Y55" s="14" t="n"/>
      <c r="Z55" s="77" t="n"/>
    </row>
  </sheetData>
  <mergeCells count="2">
    <mergeCell ref="A1:Z1"/>
    <mergeCell ref="A2:Z2"/>
  </mergeCells>
  <conditionalFormatting sqref="A4:Z55">
    <cfRule type="expression" priority="1" dxfId="8">
      <formula>AND($G4="a Realizar",$K4&lt;TODAY(),$K4&lt;&gt;"",ISNUMBER($K4))</formula>
    </cfRule>
    <cfRule type="expression" priority="2" dxfId="3">
      <formula>AND($G4="a Realizar",ISNUMBER($K4),$K4&gt;=TODAY(),$K4&lt;=TODAY()+7)</formula>
    </cfRule>
    <cfRule type="expression" priority="3" dxfId="1">
      <formula>AND($G4="a Realizar",ISNUMBER($K4),$K4&gt;TODAY()+7,$K4&lt;=TODAY()+30)</formula>
    </cfRule>
    <cfRule type="expression" priority="4" dxfId="0">
      <formula>$G4="Realizado"</formula>
    </cfRule>
  </conditionalFormatting>
  <dataValidations count="7">
    <dataValidation sqref="G4:G55" showDropDown="0" showInputMessage="1" showErrorMessage="1" allowBlank="0" promptTitle="Status do Evento" type="list">
      <formula1>"Realizado,a Realizar,Cancelado,Em Planejamento"</formula1>
    </dataValidation>
    <dataValidation sqref="H4:H55" showDropDown="0" showInputMessage="1" showErrorMessage="1" allowBlank="0" promptTitle="Status EM" type="list">
      <formula1>"aprovada,Encerrada,pendente,solicitado,Sem ação Eventos"</formula1>
    </dataValidation>
    <dataValidation sqref="E4:E55" showDropDown="0" showInputMessage="1" showErrorMessage="1" allowBlank="0" promptTitle="Tipo" type="list">
      <formula1>"Cota,Apoio,Simpósio,TOME/Advisory"</formula1>
    </dataValidation>
    <dataValidation sqref="M4:M55" showDropDown="0" showInputMessage="1" showErrorMessage="1" allowBlank="0" promptTitle="Business Unit" type="list">
      <formula1>"Acesso,Comunicação/Vacinas,NEC,Neurociências,Raras"</formula1>
    </dataValidation>
    <dataValidation sqref="Q4:Q55" showDropDown="0" showInputMessage="1" showErrorMessage="1" allowBlank="0" promptTitle="Formato" type="list">
      <formula1>"Presencial,Virtual,Hibrido"</formula1>
    </dataValidation>
    <dataValidation sqref="R4:R55" showDropDown="0" showInputMessage="1" showErrorMessage="1" allowBlank="0" promptTitle="Complexidade" type="list">
      <formula1>"Alta,Média,Baixa"</formula1>
    </dataValidation>
    <dataValidation sqref="T4:T55" showDropDown="0" showInputMessage="1" showErrorMessage="1" allowBlank="0" promptTitle="Agência" type="list">
      <formula1>"Incentivare,OPUS,Opus,A preencher"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375623"/>
    <outlinePr summaryBelow="1" summaryRight="1"/>
    <pageSetUpPr/>
  </sheetPr>
  <dimension ref="A1:I146"/>
  <sheetViews>
    <sheetView showGridLines="0" tabSelected="1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5"/>
  <cols>
    <col width="5" customWidth="1" style="100" min="1" max="1"/>
    <col width="38" customWidth="1" style="100" min="2" max="2"/>
    <col width="40.85546875" customWidth="1" style="100" min="3" max="3"/>
    <col width="37.28515625" customWidth="1" style="100" min="4" max="4"/>
    <col width="36" customWidth="1" style="100" min="5" max="5"/>
    <col width="13" customWidth="1" style="100" min="6" max="7"/>
    <col width="16" customWidth="1" style="100" min="8" max="8"/>
    <col width="40" customWidth="1" style="100" min="9" max="9"/>
  </cols>
  <sheetData>
    <row r="1" ht="27.95" customHeight="1" s="100">
      <c r="A1" s="53" t="inlineStr">
        <is>
          <t>✅ BANCO DE DADOS DE ATIVIDADES  ·  v4  ·  Coluna Prazo + Alertas CF</t>
        </is>
      </c>
    </row>
    <row r="2" ht="15.95" customHeight="1" s="100">
      <c r="A2" s="83" t="inlineStr">
        <is>
          <t>🔴 Prazo vencido + PENDENTE = ATRASADO  ·  🟠 Prazo em 7 dias  ·  🟡 PENDENTE geral  ·  🟢 CONCLUÍDO  ·  Coluna Prazo: insira data DD/MM/AAAA</t>
        </is>
      </c>
    </row>
    <row r="3" ht="32.1" customHeight="1" s="100">
      <c r="A3" s="18" t="inlineStr">
        <is>
          <t>ID</t>
        </is>
      </c>
      <c r="B3" s="18" t="inlineStr">
        <is>
          <t>Evento</t>
        </is>
      </c>
      <c r="C3" s="18" t="inlineStr">
        <is>
          <t>Etapa</t>
        </is>
      </c>
      <c r="D3" s="18" t="inlineStr">
        <is>
          <t>Atividade</t>
        </is>
      </c>
      <c r="E3" s="18" t="inlineStr">
        <is>
          <t>Responsável</t>
        </is>
      </c>
      <c r="F3" s="18" t="inlineStr">
        <is>
          <t>Prazo</t>
        </is>
      </c>
      <c r="G3" s="18" t="inlineStr">
        <is>
          <t>% Conclusão</t>
        </is>
      </c>
      <c r="H3" s="18" t="inlineStr">
        <is>
          <t>Status</t>
        </is>
      </c>
      <c r="I3" s="18" t="inlineStr">
        <is>
          <t>Observações</t>
        </is>
      </c>
    </row>
    <row r="4" ht="21" customHeight="1" s="100">
      <c r="A4" s="76" t="n">
        <v>1</v>
      </c>
      <c r="B4" s="76" t="inlineStr">
        <is>
          <t>FÓRUM ACESSO 2026</t>
        </is>
      </c>
      <c r="C4" s="76" t="inlineStr">
        <is>
          <t>Plan</t>
        </is>
      </c>
      <c r="D4" s="76" t="inlineStr">
        <is>
          <t>Briefing</t>
        </is>
      </c>
      <c r="E4" s="76" t="n"/>
      <c r="F4" s="131" t="n"/>
      <c r="G4" s="20" t="n">
        <v>1</v>
      </c>
      <c r="H4" s="11" t="inlineStr">
        <is>
          <t>CONCLUÍDO</t>
        </is>
      </c>
      <c r="I4" s="76" t="n"/>
    </row>
    <row r="5" ht="21" customHeight="1" s="100">
      <c r="A5" s="77" t="n">
        <v>2</v>
      </c>
      <c r="B5" s="77" t="inlineStr">
        <is>
          <t>FÓRUM ACESSO 2026</t>
        </is>
      </c>
      <c r="C5" s="77" t="inlineStr">
        <is>
          <t>VEEVA</t>
        </is>
      </c>
      <c r="D5" s="77" t="inlineStr">
        <is>
          <t>EM Aprovada</t>
        </is>
      </c>
      <c r="E5" s="77" t="n"/>
      <c r="F5" s="131" t="n"/>
      <c r="G5" s="20" t="n">
        <v>1</v>
      </c>
      <c r="H5" s="11" t="inlineStr">
        <is>
          <t>CONCLUÍDO</t>
        </is>
      </c>
      <c r="I5" s="77" t="n"/>
    </row>
    <row r="6" ht="21" customHeight="1" s="100">
      <c r="A6" s="76" t="n">
        <v>3</v>
      </c>
      <c r="B6" s="76" t="inlineStr">
        <is>
          <t>FÓRUM ACESSO 2026</t>
        </is>
      </c>
      <c r="C6" s="76" t="inlineStr">
        <is>
          <t>Ag. Logística</t>
        </is>
      </c>
      <c r="D6" s="76" t="inlineStr">
        <is>
          <t>Solicitar orçamento</t>
        </is>
      </c>
      <c r="E6" s="76" t="n"/>
      <c r="F6" s="131" t="n"/>
      <c r="G6" s="20" t="n">
        <v>1</v>
      </c>
      <c r="H6" s="11" t="inlineStr">
        <is>
          <t>CONCLUÍDO</t>
        </is>
      </c>
      <c r="I6" s="76" t="n"/>
    </row>
    <row r="7" ht="21" customHeight="1" s="100">
      <c r="A7" s="77" t="n">
        <v>4</v>
      </c>
      <c r="B7" s="77" t="inlineStr">
        <is>
          <t>FÓRUM ACESSO 2026</t>
        </is>
      </c>
      <c r="C7" s="77" t="inlineStr">
        <is>
          <t>Agg. Produção</t>
        </is>
      </c>
      <c r="D7" s="77" t="inlineStr">
        <is>
          <t>Solicitar orçamento</t>
        </is>
      </c>
      <c r="E7" s="77" t="n"/>
      <c r="F7" s="131" t="n"/>
      <c r="G7" s="20" t="n">
        <v>1</v>
      </c>
      <c r="H7" s="11" t="inlineStr">
        <is>
          <t>CONCLUÍDO</t>
        </is>
      </c>
      <c r="I7" s="77" t="n"/>
    </row>
    <row r="8" ht="21" customHeight="1" s="100">
      <c r="A8" s="76" t="n">
        <v>5</v>
      </c>
      <c r="B8" s="76" t="inlineStr">
        <is>
          <t>FÓRUM ACESSO 2026</t>
        </is>
      </c>
      <c r="C8" s="76" t="inlineStr">
        <is>
          <t>Palestrantes</t>
        </is>
      </c>
      <c r="D8" s="76" t="inlineStr">
        <is>
          <t>Contrato Palestrantes</t>
        </is>
      </c>
      <c r="E8" s="76" t="n"/>
      <c r="F8" s="131" t="n"/>
      <c r="G8" s="20" t="n">
        <v>1</v>
      </c>
      <c r="H8" s="11" t="inlineStr">
        <is>
          <t>CONCLUÍDO</t>
        </is>
      </c>
      <c r="I8" s="76" t="n"/>
    </row>
    <row r="9" ht="21" customHeight="1" s="100">
      <c r="A9" s="77" t="n">
        <v>6</v>
      </c>
      <c r="B9" s="77" t="inlineStr">
        <is>
          <t>FÓRUM ACESSO 2026</t>
        </is>
      </c>
      <c r="C9" s="77" t="inlineStr">
        <is>
          <t>RSVP</t>
        </is>
      </c>
      <c r="D9" s="77" t="inlineStr">
        <is>
          <t>Envio das planilhas com dados dos convidados</t>
        </is>
      </c>
      <c r="E9" s="77" t="n"/>
      <c r="F9" s="131" t="n"/>
      <c r="G9" s="20" t="n">
        <v>1</v>
      </c>
      <c r="H9" s="11" t="inlineStr">
        <is>
          <t>CONCLUÍDO</t>
        </is>
      </c>
      <c r="I9" s="77" t="n"/>
    </row>
    <row r="10" ht="21" customHeight="1" s="100">
      <c r="A10" s="76" t="n">
        <v>7</v>
      </c>
      <c r="B10" s="107" t="inlineStr">
        <is>
          <t>FORUM GEDIIB BRASÍLIA</t>
        </is>
      </c>
      <c r="C10" s="76" t="inlineStr">
        <is>
          <t>Planejamento</t>
        </is>
      </c>
      <c r="D10" s="76" t="inlineStr">
        <is>
          <t>Briefing</t>
        </is>
      </c>
      <c r="E10" s="76" t="n"/>
      <c r="F10" s="131" t="n"/>
      <c r="G10" s="20" t="n">
        <v>1</v>
      </c>
      <c r="H10" s="11" t="inlineStr">
        <is>
          <t>CONCLUÍDO</t>
        </is>
      </c>
      <c r="I10" s="76" t="n"/>
    </row>
    <row r="11" ht="21" customHeight="1" s="100">
      <c r="A11" s="77" t="n">
        <v>8</v>
      </c>
      <c r="B11" s="77" t="inlineStr">
        <is>
          <t>FORUM GEDIIB BRASÍLIA</t>
        </is>
      </c>
      <c r="C11" s="77" t="inlineStr">
        <is>
          <t>VEEVA</t>
        </is>
      </c>
      <c r="D11" s="77" t="inlineStr">
        <is>
          <t>EM Cota</t>
        </is>
      </c>
      <c r="E11" s="77" t="n"/>
      <c r="F11" s="131" t="n"/>
      <c r="G11" s="20" t="n">
        <v>1</v>
      </c>
      <c r="H11" s="11" t="inlineStr">
        <is>
          <t>CONCLUÍDO</t>
        </is>
      </c>
      <c r="I11" s="77" t="n"/>
    </row>
    <row r="12" ht="21" customHeight="1" s="100">
      <c r="A12" s="76" t="n">
        <v>9</v>
      </c>
      <c r="B12" s="76" t="inlineStr">
        <is>
          <t>FORUM GEDIIB BRASÍLIA</t>
        </is>
      </c>
      <c r="C12" s="76" t="inlineStr">
        <is>
          <t>Sociedade</t>
        </is>
      </c>
      <c r="D12" s="76" t="inlineStr">
        <is>
          <t>Contrato (cota)</t>
        </is>
      </c>
      <c r="E12" s="76" t="n"/>
      <c r="F12" s="131" t="n"/>
      <c r="G12" s="20" t="n">
        <v>1</v>
      </c>
      <c r="H12" s="11" t="inlineStr">
        <is>
          <t>CONCLUÍDO</t>
        </is>
      </c>
      <c r="I12" s="76" t="n"/>
    </row>
    <row r="13" ht="21" customHeight="1" s="100">
      <c r="A13" s="77" t="n">
        <v>10</v>
      </c>
      <c r="B13" s="77" t="inlineStr">
        <is>
          <t>FORUM GEDIIB BRASÍLIA</t>
        </is>
      </c>
      <c r="C13" s="77" t="inlineStr">
        <is>
          <t>Stand</t>
        </is>
      </c>
      <c r="D13" s="77" t="inlineStr">
        <is>
          <t>Documentação Prefeitura (RJ/Gramado)</t>
        </is>
      </c>
      <c r="E13" s="77" t="n"/>
      <c r="F13" s="131" t="n"/>
      <c r="G13" s="20" t="n">
        <v>1</v>
      </c>
      <c r="H13" s="11" t="inlineStr">
        <is>
          <t>CONCLUÍDO</t>
        </is>
      </c>
      <c r="I13" s="77" t="n"/>
    </row>
    <row r="14" ht="21" customHeight="1" s="100">
      <c r="A14" s="76" t="n">
        <v>11</v>
      </c>
      <c r="B14" s="76" t="inlineStr">
        <is>
          <t>FORUM GEDIIB BRASÍLIA</t>
        </is>
      </c>
      <c r="C14" s="76" t="inlineStr">
        <is>
          <t>Buffet</t>
        </is>
      </c>
      <c r="D14" s="76" t="inlineStr">
        <is>
          <t>Solicitar Orçamento Stand</t>
        </is>
      </c>
      <c r="E14" s="76" t="n"/>
      <c r="F14" s="131" t="n"/>
      <c r="G14" s="20" t="n">
        <v>1</v>
      </c>
      <c r="H14" s="11" t="inlineStr">
        <is>
          <t>CONCLUÍDO</t>
        </is>
      </c>
      <c r="I14" s="76" t="n"/>
    </row>
    <row r="15" ht="21" customHeight="1" s="100">
      <c r="A15" s="77" t="n">
        <v>12</v>
      </c>
      <c r="B15" s="77" t="inlineStr">
        <is>
          <t>FORUM GEDIIB BRASÍLIA</t>
        </is>
      </c>
      <c r="C15" s="77" t="inlineStr">
        <is>
          <t>Staff</t>
        </is>
      </c>
      <c r="D15" s="77" t="inlineStr">
        <is>
          <t>Lista de staff participantes/ Escala</t>
        </is>
      </c>
      <c r="E15" s="77" t="n"/>
      <c r="F15" s="131" t="n"/>
      <c r="G15" s="20" t="n">
        <v>1</v>
      </c>
      <c r="H15" s="11" t="inlineStr">
        <is>
          <t>CONCLUÍDO</t>
        </is>
      </c>
      <c r="I15" s="77" t="n"/>
    </row>
    <row r="16" ht="21" customHeight="1" s="100">
      <c r="A16" s="76" t="n">
        <v>13</v>
      </c>
      <c r="B16" s="76" t="inlineStr">
        <is>
          <t>FORUM GEDIIB BRASÍLIA</t>
        </is>
      </c>
      <c r="C16" s="76" t="inlineStr">
        <is>
          <t>Ag. Logística</t>
        </is>
      </c>
      <c r="D16" s="76" t="inlineStr">
        <is>
          <t>RSVP</t>
        </is>
      </c>
      <c r="E16" s="76" t="n"/>
      <c r="F16" s="131" t="n"/>
      <c r="G16" s="20" t="n">
        <v>1</v>
      </c>
      <c r="H16" s="11" t="inlineStr">
        <is>
          <t>CONCLUÍDO</t>
        </is>
      </c>
      <c r="I16" s="76" t="n"/>
    </row>
    <row r="17" ht="21" customHeight="1" s="100">
      <c r="A17" s="77" t="n">
        <v>14</v>
      </c>
      <c r="B17" s="77" t="inlineStr">
        <is>
          <t>FORUM GEDIIB BRASÍLIA</t>
        </is>
      </c>
      <c r="C17" s="77" t="inlineStr">
        <is>
          <t>Alinhamentos Finais</t>
        </is>
      </c>
      <c r="D17" s="77" t="inlineStr">
        <is>
          <t>Email Informações Gerais</t>
        </is>
      </c>
      <c r="E17" s="77" t="n"/>
      <c r="F17" s="131" t="n"/>
      <c r="G17" s="20" t="n">
        <v>1</v>
      </c>
      <c r="H17" s="11" t="inlineStr">
        <is>
          <t>CONCLUÍDO</t>
        </is>
      </c>
      <c r="I17" s="77" t="n"/>
    </row>
    <row r="18" ht="21" customHeight="1" s="100">
      <c r="A18" s="76" t="n">
        <v>15</v>
      </c>
      <c r="B18" s="76" t="inlineStr">
        <is>
          <t>FORUM GEDIIB BRASÍLIA</t>
        </is>
      </c>
      <c r="C18" s="76" t="inlineStr">
        <is>
          <t>Pós Evento</t>
        </is>
      </c>
      <c r="D18" s="76" t="inlineStr">
        <is>
          <t>Evidência de contrapartidas</t>
        </is>
      </c>
      <c r="E18" s="76" t="n"/>
      <c r="F18" s="131" t="n"/>
      <c r="G18" s="20" t="n">
        <v>1</v>
      </c>
      <c r="H18" s="11" t="inlineStr">
        <is>
          <t>CONCLUÍDO</t>
        </is>
      </c>
      <c r="I18" s="76" t="n"/>
    </row>
    <row r="19" ht="21" customHeight="1" s="100">
      <c r="A19" s="77" t="n">
        <v>16</v>
      </c>
      <c r="B19" s="77" t="inlineStr">
        <is>
          <t>FORUM GEDIIB BRASÍLIA</t>
        </is>
      </c>
      <c r="C19" s="76" t="inlineStr">
        <is>
          <t>CONTRAPARTIDAS</t>
        </is>
      </c>
      <c r="D19" s="77" t="n"/>
      <c r="E19" s="77" t="n"/>
      <c r="F19" s="131" t="n"/>
      <c r="G19" s="20" t="n">
        <v>1</v>
      </c>
      <c r="H19" s="11" t="inlineStr">
        <is>
          <t>CONCLUÍDO</t>
        </is>
      </c>
      <c r="I19" s="77" t="inlineStr">
        <is>
          <t>O investimento não é exclusivo e será utilizado como apoio a organização e logística do evento. Em contrapartida, a PATROCINADORA terá a sua logomarca exposta nos materiais de divulgação do evento - flyer, folder e site da PATROCINADA.</t>
        </is>
      </c>
    </row>
    <row r="20" ht="21" customHeight="1" s="100">
      <c r="A20" s="76" t="n">
        <v>17</v>
      </c>
      <c r="B20" s="76" t="inlineStr">
        <is>
          <t>FORUM GEDIIB BRASÍLIA</t>
        </is>
      </c>
      <c r="C20" s="130" t="n"/>
      <c r="D20" s="76" t="n"/>
      <c r="E20" s="76" t="n"/>
      <c r="F20" s="131" t="n"/>
      <c r="G20" s="20" t="n">
        <v>1</v>
      </c>
      <c r="H20" s="11" t="inlineStr">
        <is>
          <t>CONCLUÍDO</t>
        </is>
      </c>
      <c r="I20" s="76" t="n"/>
    </row>
    <row r="21" ht="21" customHeight="1" s="100">
      <c r="A21" s="77" t="n">
        <v>18</v>
      </c>
      <c r="B21" s="77" t="inlineStr">
        <is>
          <t>FORUM GEDIIB BRASÍLIA</t>
        </is>
      </c>
      <c r="C21" s="77" t="n"/>
      <c r="D21" s="77" t="n"/>
      <c r="E21" s="77" t="n"/>
      <c r="F21" s="131" t="n"/>
      <c r="G21" s="20" t="n">
        <v>1</v>
      </c>
      <c r="H21" s="11" t="inlineStr">
        <is>
          <t>CONCLUÍDO</t>
        </is>
      </c>
      <c r="I21" s="77" t="n"/>
    </row>
    <row r="22" ht="21" customHeight="1" s="100">
      <c r="A22" s="76" t="n">
        <v>19</v>
      </c>
      <c r="B22" s="76" t="inlineStr">
        <is>
          <t>FORUM GEDIIB BRASÍLIA</t>
        </is>
      </c>
      <c r="C22" s="76" t="n"/>
      <c r="D22" s="76" t="n"/>
      <c r="E22" s="76" t="inlineStr">
        <is>
          <t>Janaina Silva</t>
        </is>
      </c>
      <c r="F22" s="131" t="n"/>
      <c r="G22" s="20" t="n">
        <v>1</v>
      </c>
      <c r="H22" s="11" t="inlineStr">
        <is>
          <t>CONCLUÍDO</t>
        </is>
      </c>
      <c r="I22" s="76" t="n"/>
    </row>
    <row r="23" ht="21" customHeight="1" s="100">
      <c r="A23" s="77" t="n">
        <v>20</v>
      </c>
      <c r="B23" s="77" t="inlineStr">
        <is>
          <t>FORUM GEDIIB BRASÍLIA</t>
        </is>
      </c>
      <c r="C23" s="77" t="n"/>
      <c r="D23" s="77" t="n"/>
      <c r="E23" s="77" t="inlineStr">
        <is>
          <t>Fernando Azato</t>
        </is>
      </c>
      <c r="F23" s="131" t="n"/>
      <c r="G23" s="20" t="n">
        <v>1</v>
      </c>
      <c r="H23" s="11" t="inlineStr">
        <is>
          <t>CONCLUÍDO</t>
        </is>
      </c>
      <c r="I23" s="77" t="n"/>
    </row>
    <row r="24" ht="21" customHeight="1" s="100">
      <c r="A24" s="76" t="n">
        <v>21</v>
      </c>
      <c r="B24" s="76" t="inlineStr">
        <is>
          <t>FORUM GEDIIB BRASÍLIA</t>
        </is>
      </c>
      <c r="C24" s="76" t="n"/>
      <c r="D24" s="76" t="n"/>
      <c r="E24" s="76" t="inlineStr">
        <is>
          <t>Marcio</t>
        </is>
      </c>
      <c r="F24" s="131" t="n"/>
      <c r="G24" s="20" t="n">
        <v>1</v>
      </c>
      <c r="H24" s="11" t="inlineStr">
        <is>
          <t>CONCLUÍDO</t>
        </is>
      </c>
      <c r="I24" s="76" t="n"/>
    </row>
    <row r="25" ht="21" customHeight="1" s="100">
      <c r="A25" s="77" t="n">
        <v>22</v>
      </c>
      <c r="B25" s="77" t="inlineStr">
        <is>
          <t>Congresso Medicina do Sono</t>
        </is>
      </c>
      <c r="C25" s="77" t="inlineStr">
        <is>
          <t>Planejamento</t>
        </is>
      </c>
      <c r="D25" s="77" t="inlineStr">
        <is>
          <t>Briefing</t>
        </is>
      </c>
      <c r="E25" s="77" t="n"/>
      <c r="F25" s="131" t="n"/>
      <c r="G25" s="20" t="n">
        <v>1</v>
      </c>
      <c r="H25" s="14" t="inlineStr">
        <is>
          <t>CONCLUÍDO</t>
        </is>
      </c>
      <c r="I25" s="77" t="n"/>
    </row>
    <row r="26" ht="21" customHeight="1" s="100">
      <c r="A26" s="76" t="n">
        <v>23</v>
      </c>
      <c r="B26" s="76" t="inlineStr">
        <is>
          <t>Congresso Medicina do Sono</t>
        </is>
      </c>
      <c r="C26" s="76" t="inlineStr">
        <is>
          <t>VEEVA</t>
        </is>
      </c>
      <c r="D26" s="76" t="inlineStr">
        <is>
          <t>EM Cota</t>
        </is>
      </c>
      <c r="E26" s="76" t="n"/>
      <c r="F26" s="131" t="n"/>
      <c r="G26" s="20" t="n">
        <v>1</v>
      </c>
      <c r="H26" s="11" t="inlineStr">
        <is>
          <t>CONCLUÍDO</t>
        </is>
      </c>
      <c r="I26" s="76" t="n"/>
    </row>
    <row r="27" ht="21" customHeight="1" s="100">
      <c r="A27" s="77" t="n">
        <v>24</v>
      </c>
      <c r="B27" s="77" t="inlineStr">
        <is>
          <t>Congresso Medicina do Sono</t>
        </is>
      </c>
      <c r="C27" s="77" t="inlineStr">
        <is>
          <t>Simpósio</t>
        </is>
      </c>
      <c r="D27" s="77" t="inlineStr">
        <is>
          <t>Contratos Palestrantes</t>
        </is>
      </c>
      <c r="E27" s="77" t="n"/>
      <c r="F27" s="131" t="n"/>
      <c r="G27" s="20" t="n">
        <v>1</v>
      </c>
      <c r="H27" s="11" t="inlineStr">
        <is>
          <t>CONCLUÍDO</t>
        </is>
      </c>
      <c r="I27" s="77" t="n"/>
    </row>
    <row r="28" ht="21" customHeight="1" s="100">
      <c r="A28" s="76" t="n">
        <v>25</v>
      </c>
      <c r="B28" s="76" t="inlineStr">
        <is>
          <t>Congresso Medicina do Sono</t>
        </is>
      </c>
      <c r="C28" s="76" t="inlineStr">
        <is>
          <t>Sociedade</t>
        </is>
      </c>
      <c r="D28" s="76" t="inlineStr">
        <is>
          <t>Contrato (cota)</t>
        </is>
      </c>
      <c r="E28" s="76" t="n"/>
      <c r="F28" s="131" t="n"/>
      <c r="G28" s="20" t="n">
        <v>1</v>
      </c>
      <c r="H28" s="11" t="inlineStr">
        <is>
          <t>CONCLUÍDO</t>
        </is>
      </c>
      <c r="I28" s="76" t="n"/>
    </row>
    <row r="29" ht="21" customHeight="1" s="100">
      <c r="A29" s="77" t="n">
        <v>26</v>
      </c>
      <c r="B29" s="77" t="inlineStr">
        <is>
          <t>Congresso Medicina do Sono</t>
        </is>
      </c>
      <c r="C29" s="77" t="inlineStr">
        <is>
          <t>Stand</t>
        </is>
      </c>
      <c r="D29" s="77" t="inlineStr">
        <is>
          <t>Documentação Prefeitura (SP/RJ/Gramado)</t>
        </is>
      </c>
      <c r="E29" s="77" t="n"/>
      <c r="F29" s="131" t="n"/>
      <c r="G29" s="20" t="n">
        <v>1</v>
      </c>
      <c r="H29" s="11" t="inlineStr">
        <is>
          <t>CONCLUÍDO</t>
        </is>
      </c>
      <c r="I29" s="77" t="n"/>
    </row>
    <row r="30" ht="21" customHeight="1" s="100">
      <c r="A30" s="76" t="n">
        <v>27</v>
      </c>
      <c r="B30" s="76" t="inlineStr">
        <is>
          <t>Congresso Medicina do Sono</t>
        </is>
      </c>
      <c r="C30" s="76" t="inlineStr">
        <is>
          <t>Buffet</t>
        </is>
      </c>
      <c r="D30" s="76" t="inlineStr">
        <is>
          <t>Solicitar Orçamento buffet stand</t>
        </is>
      </c>
      <c r="E30" s="76" t="n"/>
      <c r="F30" s="131" t="n"/>
      <c r="G30" s="20" t="n">
        <v>1</v>
      </c>
      <c r="H30" s="11" t="inlineStr">
        <is>
          <t>CONCLUÍDO</t>
        </is>
      </c>
      <c r="I30" s="76" t="n"/>
    </row>
    <row r="31" ht="21" customHeight="1" s="100">
      <c r="A31" s="77" t="n">
        <v>28</v>
      </c>
      <c r="B31" s="77" t="inlineStr">
        <is>
          <t>Congresso Medicina do Sono</t>
        </is>
      </c>
      <c r="C31" s="77" t="inlineStr">
        <is>
          <t>Staff</t>
        </is>
      </c>
      <c r="D31" s="77" t="inlineStr">
        <is>
          <t>Lista de staff participantes/ Escala</t>
        </is>
      </c>
      <c r="E31" s="77" t="n"/>
      <c r="F31" s="131" t="n"/>
      <c r="G31" s="20" t="n">
        <v>1</v>
      </c>
      <c r="H31" s="11" t="inlineStr">
        <is>
          <t>CONCLUÍDO</t>
        </is>
      </c>
      <c r="I31" s="77" t="n"/>
    </row>
    <row r="32" ht="21" customHeight="1" s="100">
      <c r="A32" s="76" t="n">
        <v>29</v>
      </c>
      <c r="B32" s="76" t="inlineStr">
        <is>
          <t>Congresso Medicina do Sono</t>
        </is>
      </c>
      <c r="C32" s="76" t="inlineStr">
        <is>
          <t>Ag. Logística</t>
        </is>
      </c>
      <c r="D32" s="76" t="inlineStr">
        <is>
          <t>Coordenador</t>
        </is>
      </c>
      <c r="E32" s="76" t="n"/>
      <c r="F32" s="131" t="n"/>
      <c r="G32" s="20" t="n">
        <v>1</v>
      </c>
      <c r="H32" s="11" t="inlineStr">
        <is>
          <t>CONCLUÍDO</t>
        </is>
      </c>
      <c r="I32" s="76" t="n"/>
    </row>
    <row r="33" ht="21" customHeight="1" s="100">
      <c r="A33" s="77" t="n">
        <v>30</v>
      </c>
      <c r="B33" s="77" t="inlineStr">
        <is>
          <t>Congresso Medicina do Sono</t>
        </is>
      </c>
      <c r="C33" s="77" t="inlineStr">
        <is>
          <t>Alinhamentos Finais</t>
        </is>
      </c>
      <c r="D33" s="77" t="inlineStr">
        <is>
          <t>Email Informações Gerais</t>
        </is>
      </c>
      <c r="E33" s="77" t="n"/>
      <c r="F33" s="131" t="n"/>
      <c r="G33" s="20" t="n">
        <v>1</v>
      </c>
      <c r="H33" s="11" t="inlineStr">
        <is>
          <t>CONCLUÍDO</t>
        </is>
      </c>
      <c r="I33" s="77" t="n"/>
    </row>
    <row r="34" ht="21" customHeight="1" s="100">
      <c r="A34" s="76" t="n">
        <v>31</v>
      </c>
      <c r="B34" s="76" t="inlineStr">
        <is>
          <t>Congresso Medicina do Sono</t>
        </is>
      </c>
      <c r="C34" s="76" t="inlineStr">
        <is>
          <t>Pós Evento</t>
        </is>
      </c>
      <c r="D34" s="76" t="inlineStr">
        <is>
          <t>Evidência de contrapartidas</t>
        </is>
      </c>
      <c r="E34" s="76" t="n"/>
      <c r="F34" s="131" t="n"/>
      <c r="G34" s="20" t="n">
        <v>0</v>
      </c>
      <c r="H34" s="11" t="inlineStr">
        <is>
          <t>PENDENTE</t>
        </is>
      </c>
      <c r="I34" s="76" t="n"/>
    </row>
    <row r="35" ht="21" customHeight="1" s="100">
      <c r="A35" s="77" t="n">
        <v>32</v>
      </c>
      <c r="B35" s="77" t="inlineStr">
        <is>
          <t>BRAIN 2026</t>
        </is>
      </c>
      <c r="C35" s="77" t="inlineStr">
        <is>
          <t>Planejamento</t>
        </is>
      </c>
      <c r="D35" s="77" t="inlineStr">
        <is>
          <t>Briefing</t>
        </is>
      </c>
      <c r="E35" s="77" t="n"/>
      <c r="F35" s="131" t="n"/>
      <c r="G35" s="20" t="n">
        <v>1</v>
      </c>
      <c r="H35" s="11" t="inlineStr">
        <is>
          <t>CONCLUÍDO</t>
        </is>
      </c>
      <c r="I35" s="77" t="n"/>
    </row>
    <row r="36" ht="21" customHeight="1" s="100">
      <c r="A36" s="76" t="n">
        <v>33</v>
      </c>
      <c r="B36" s="76" t="inlineStr">
        <is>
          <t>BRAIN 2026</t>
        </is>
      </c>
      <c r="C36" s="76" t="inlineStr">
        <is>
          <t>VEEVA</t>
        </is>
      </c>
      <c r="D36" s="76" t="inlineStr">
        <is>
          <t>EM COTA Aprovada</t>
        </is>
      </c>
      <c r="E36" s="76" t="n"/>
      <c r="F36" s="131" t="n"/>
      <c r="G36" s="20" t="n">
        <v>1</v>
      </c>
      <c r="H36" s="11" t="inlineStr">
        <is>
          <t>CONCLUÍDO</t>
        </is>
      </c>
      <c r="I36" s="76" t="n"/>
    </row>
    <row r="37" ht="21" customHeight="1" s="100">
      <c r="A37" s="77" t="n">
        <v>34</v>
      </c>
      <c r="B37" s="77" t="inlineStr">
        <is>
          <t>BRAIN 2026</t>
        </is>
      </c>
      <c r="C37" s="77" t="inlineStr">
        <is>
          <t>Sociedade</t>
        </is>
      </c>
      <c r="D37" s="77" t="inlineStr">
        <is>
          <t>Contrato (cota)</t>
        </is>
      </c>
      <c r="E37" s="77" t="n"/>
      <c r="F37" s="131" t="n"/>
      <c r="G37" s="20" t="n">
        <v>1</v>
      </c>
      <c r="H37" s="11" t="inlineStr">
        <is>
          <t>CONCLUÍDO</t>
        </is>
      </c>
      <c r="I37" s="77" t="n"/>
    </row>
    <row r="38" ht="21" customHeight="1" s="100">
      <c r="A38" s="76" t="n">
        <v>35</v>
      </c>
      <c r="B38" s="76" t="inlineStr">
        <is>
          <t>BRAIN 2026</t>
        </is>
      </c>
      <c r="C38" s="76" t="inlineStr">
        <is>
          <t>Stand</t>
        </is>
      </c>
      <c r="D38" s="76" t="inlineStr">
        <is>
          <t>Documentação Prefeitura (RJ/Gramado)</t>
        </is>
      </c>
      <c r="E38" s="76" t="n"/>
      <c r="F38" s="131" t="n"/>
      <c r="G38" s="20" t="n">
        <v>1</v>
      </c>
      <c r="H38" s="11" t="inlineStr">
        <is>
          <t>CONCLUÍDO</t>
        </is>
      </c>
      <c r="I38" s="76" t="inlineStr">
        <is>
          <t>-</t>
        </is>
      </c>
    </row>
    <row r="39" ht="21" customHeight="1" s="100">
      <c r="A39" s="77" t="n">
        <v>36</v>
      </c>
      <c r="B39" s="77" t="inlineStr">
        <is>
          <t>BRAIN 2026</t>
        </is>
      </c>
      <c r="C39" s="77" t="inlineStr">
        <is>
          <t>Buffet</t>
        </is>
      </c>
      <c r="D39" s="77" t="inlineStr">
        <is>
          <t>Solicitar Orçamento buffet stand</t>
        </is>
      </c>
      <c r="E39" s="77" t="n"/>
      <c r="F39" s="131" t="n"/>
      <c r="G39" s="20" t="n">
        <v>1</v>
      </c>
      <c r="H39" s="11" t="inlineStr">
        <is>
          <t>CONCLUÍDO</t>
        </is>
      </c>
      <c r="I39" s="77" t="n"/>
    </row>
    <row r="40" ht="21" customHeight="1" s="100">
      <c r="A40" s="76" t="n">
        <v>37</v>
      </c>
      <c r="B40" s="76" t="inlineStr">
        <is>
          <t>BRAIN 2026</t>
        </is>
      </c>
      <c r="C40" s="76" t="inlineStr">
        <is>
          <t>Staff</t>
        </is>
      </c>
      <c r="D40" s="76" t="inlineStr">
        <is>
          <t>Lista de staff participantes/ Escala</t>
        </is>
      </c>
      <c r="E40" s="76" t="n"/>
      <c r="F40" s="131" t="n"/>
      <c r="G40" s="20" t="n">
        <v>1</v>
      </c>
      <c r="H40" s="11" t="inlineStr">
        <is>
          <t>CONCLUÍDO</t>
        </is>
      </c>
      <c r="I40" s="76" t="n"/>
    </row>
    <row r="41" ht="21" customHeight="1" s="100">
      <c r="A41" s="77" t="n">
        <v>38</v>
      </c>
      <c r="B41" s="77" t="inlineStr">
        <is>
          <t>BRAIN 2026</t>
        </is>
      </c>
      <c r="C41" s="77" t="inlineStr">
        <is>
          <t>Ag. Logística</t>
        </is>
      </c>
      <c r="D41" s="77" t="inlineStr">
        <is>
          <t>Solicitar orçamento APOIO</t>
        </is>
      </c>
      <c r="E41" s="77" t="n"/>
      <c r="F41" s="131" t="n"/>
      <c r="G41" s="20" t="n">
        <v>1</v>
      </c>
      <c r="H41" s="11" t="inlineStr">
        <is>
          <t>CONCLUÍDO</t>
        </is>
      </c>
      <c r="I41" s="77" t="n"/>
    </row>
    <row r="42" ht="21" customHeight="1" s="100">
      <c r="A42" s="76" t="n">
        <v>39</v>
      </c>
      <c r="B42" s="76" t="inlineStr">
        <is>
          <t>BRAIN 2026</t>
        </is>
      </c>
      <c r="C42" s="76" t="inlineStr">
        <is>
          <t>Alinhamentos Finais</t>
        </is>
      </c>
      <c r="D42" s="76" t="inlineStr">
        <is>
          <t>Email Informações Gerais</t>
        </is>
      </c>
      <c r="E42" s="76" t="n"/>
      <c r="F42" s="131" t="n"/>
      <c r="G42" s="20" t="n">
        <v>1</v>
      </c>
      <c r="H42" s="11" t="inlineStr">
        <is>
          <t>CONCLUÍDO</t>
        </is>
      </c>
      <c r="I42" s="76" t="n"/>
    </row>
    <row r="43" ht="21" customHeight="1" s="100">
      <c r="A43" s="77" t="n">
        <v>40</v>
      </c>
      <c r="B43" s="77" t="inlineStr">
        <is>
          <t>BRAIN 2026</t>
        </is>
      </c>
      <c r="C43" s="77" t="inlineStr">
        <is>
          <t>Pós Evento</t>
        </is>
      </c>
      <c r="D43" s="77" t="inlineStr">
        <is>
          <t>Evidência de contrapartidas</t>
        </is>
      </c>
      <c r="E43" s="77" t="n"/>
      <c r="F43" s="131" t="n"/>
      <c r="G43" s="20" t="n">
        <v>0</v>
      </c>
      <c r="H43" s="11" t="inlineStr">
        <is>
          <t>PENDENTE</t>
        </is>
      </c>
      <c r="I43" s="77" t="n"/>
    </row>
    <row r="44" ht="21" customHeight="1" s="100">
      <c r="A44" s="76" t="n">
        <v>41</v>
      </c>
      <c r="B44" s="76" t="inlineStr">
        <is>
          <t>BRAIN 2026 - Simpósio</t>
        </is>
      </c>
      <c r="C44" s="76" t="inlineStr">
        <is>
          <t>Planejamento</t>
        </is>
      </c>
      <c r="D44" s="76" t="inlineStr">
        <is>
          <t>Briefing</t>
        </is>
      </c>
      <c r="E44" s="76" t="n"/>
      <c r="F44" s="131" t="n"/>
      <c r="G44" s="20" t="n">
        <v>1</v>
      </c>
      <c r="H44" s="11" t="inlineStr">
        <is>
          <t>CONCLUÍDO</t>
        </is>
      </c>
      <c r="I44" s="76" t="n"/>
    </row>
    <row r="45" ht="21" customHeight="1" s="100">
      <c r="A45" s="77" t="n">
        <v>42</v>
      </c>
      <c r="B45" s="77" t="inlineStr">
        <is>
          <t>BRAIN 2026 - Simpósio</t>
        </is>
      </c>
      <c r="C45" s="77" t="inlineStr">
        <is>
          <t>VEEVA</t>
        </is>
      </c>
      <c r="D45" s="77" t="inlineStr">
        <is>
          <t>EM COTA</t>
        </is>
      </c>
      <c r="E45" s="77" t="n"/>
      <c r="F45" s="131" t="n"/>
      <c r="G45" s="20" t="n">
        <v>1</v>
      </c>
      <c r="H45" s="11" t="inlineStr">
        <is>
          <t>CONCLUÍDO</t>
        </is>
      </c>
      <c r="I45" s="77" t="n"/>
    </row>
    <row r="46" ht="21" customHeight="1" s="100">
      <c r="A46" s="76" t="n">
        <v>43</v>
      </c>
      <c r="B46" s="76" t="inlineStr">
        <is>
          <t>BRAIN 2026 - Simpósio</t>
        </is>
      </c>
      <c r="C46" s="76" t="inlineStr">
        <is>
          <t>Sociedade</t>
        </is>
      </c>
      <c r="D46" s="76" t="inlineStr">
        <is>
          <t>Proposta Sociedade</t>
        </is>
      </c>
      <c r="E46" s="76" t="n"/>
      <c r="F46" s="131" t="n"/>
      <c r="G46" s="20" t="n">
        <v>1</v>
      </c>
      <c r="H46" s="11" t="inlineStr">
        <is>
          <t>CONCLUÍDO</t>
        </is>
      </c>
      <c r="I46" s="76" t="n"/>
    </row>
    <row r="47" ht="21" customHeight="1" s="100">
      <c r="A47" s="77" t="n">
        <v>44</v>
      </c>
      <c r="B47" s="77" t="inlineStr">
        <is>
          <t>BRAIN 2026 - Simpósio</t>
        </is>
      </c>
      <c r="C47" s="77" t="inlineStr">
        <is>
          <t>Buffet</t>
        </is>
      </c>
      <c r="D47" s="77" t="inlineStr">
        <is>
          <t>Solicitar Orçamento lunch box</t>
        </is>
      </c>
      <c r="E47" s="77" t="n"/>
      <c r="F47" s="131" t="n"/>
      <c r="G47" s="20" t="n">
        <v>1</v>
      </c>
      <c r="H47" s="11" t="inlineStr">
        <is>
          <t>CONCLUÍDO</t>
        </is>
      </c>
      <c r="I47" s="77" t="n"/>
    </row>
    <row r="48" ht="21" customHeight="1" s="100">
      <c r="A48" s="76" t="n">
        <v>45</v>
      </c>
      <c r="B48" s="76" t="inlineStr">
        <is>
          <t>BRAIN 2026 - Simpósio</t>
        </is>
      </c>
      <c r="C48" s="76" t="inlineStr">
        <is>
          <t>Staff</t>
        </is>
      </c>
      <c r="D48" s="76" t="inlineStr">
        <is>
          <t>Lista de staff participantes/ Escala</t>
        </is>
      </c>
      <c r="E48" s="76" t="n"/>
      <c r="F48" s="131" t="n"/>
      <c r="G48" s="20" t="n">
        <v>1</v>
      </c>
      <c r="H48" s="11" t="inlineStr">
        <is>
          <t>CONCLUÍDO</t>
        </is>
      </c>
      <c r="I48" s="76" t="n"/>
    </row>
    <row r="49" ht="21" customHeight="1" s="100">
      <c r="A49" s="77" t="n">
        <v>46</v>
      </c>
      <c r="B49" s="77" t="inlineStr">
        <is>
          <t>BRAIN 2026 - Simpósio</t>
        </is>
      </c>
      <c r="C49" s="77" t="inlineStr">
        <is>
          <t>Ag. Logística</t>
        </is>
      </c>
      <c r="D49" s="77" t="inlineStr">
        <is>
          <t>Solicitar orçamento logística palestrantes</t>
        </is>
      </c>
      <c r="E49" s="77" t="n"/>
      <c r="F49" s="131" t="n"/>
      <c r="G49" s="20" t="n">
        <v>1</v>
      </c>
      <c r="H49" s="11" t="inlineStr">
        <is>
          <t>CONCLUÍDO</t>
        </is>
      </c>
      <c r="I49" s="77" t="n"/>
    </row>
    <row r="50" ht="21" customHeight="1" s="100">
      <c r="A50" s="76" t="n">
        <v>47</v>
      </c>
      <c r="B50" s="76" t="inlineStr">
        <is>
          <t>BRAIN 2026 - Simpósio</t>
        </is>
      </c>
      <c r="C50" s="76" t="inlineStr">
        <is>
          <t>Alinhamentos Finais</t>
        </is>
      </c>
      <c r="D50" s="76" t="inlineStr">
        <is>
          <t>Email Informações Gerais</t>
        </is>
      </c>
      <c r="E50" s="76" t="n"/>
      <c r="F50" s="131" t="n"/>
      <c r="G50" s="20" t="n">
        <v>1</v>
      </c>
      <c r="H50" s="11" t="inlineStr">
        <is>
          <t>CONCLUÍDO</t>
        </is>
      </c>
      <c r="I50" s="76" t="n"/>
    </row>
    <row r="51" ht="21" customHeight="1" s="100">
      <c r="A51" s="77" t="n">
        <v>48</v>
      </c>
      <c r="B51" s="77" t="inlineStr">
        <is>
          <t>BRAIN 2026 - Simpósio</t>
        </is>
      </c>
      <c r="C51" s="77" t="inlineStr">
        <is>
          <t>Pós Evento</t>
        </is>
      </c>
      <c r="D51" s="77" t="inlineStr">
        <is>
          <t>Evidência de contrapartidas</t>
        </is>
      </c>
      <c r="E51" s="77" t="n"/>
      <c r="F51" s="131" t="n"/>
      <c r="G51" s="20" t="n">
        <v>0</v>
      </c>
      <c r="H51" s="11" t="inlineStr">
        <is>
          <t>PENDENTE</t>
        </is>
      </c>
      <c r="I51" s="77" t="n"/>
    </row>
    <row r="52" ht="21" customHeight="1" s="100">
      <c r="A52" s="76" t="n">
        <v>49</v>
      </c>
      <c r="B52" s="76" t="inlineStr">
        <is>
          <t>Board Review Albert Einstein</t>
        </is>
      </c>
      <c r="C52" s="76" t="inlineStr">
        <is>
          <t>Planejamento</t>
        </is>
      </c>
      <c r="D52" s="76" t="inlineStr">
        <is>
          <t>Briefing</t>
        </is>
      </c>
      <c r="E52" s="76" t="n"/>
      <c r="F52" s="131" t="n"/>
      <c r="G52" s="20" t="n">
        <v>1</v>
      </c>
      <c r="H52" s="11" t="inlineStr">
        <is>
          <t>CONCLUÍDO</t>
        </is>
      </c>
      <c r="I52" s="76" t="n"/>
    </row>
    <row r="53" ht="21" customHeight="1" s="100">
      <c r="A53" s="77" t="n">
        <v>50</v>
      </c>
      <c r="B53" s="77" t="inlineStr">
        <is>
          <t>Board Review Albert Einstein</t>
        </is>
      </c>
      <c r="C53" s="77" t="inlineStr">
        <is>
          <t>VEEVA</t>
        </is>
      </c>
      <c r="D53" s="77" t="inlineStr">
        <is>
          <t>EM Cota</t>
        </is>
      </c>
      <c r="E53" s="77" t="n"/>
      <c r="F53" s="131" t="n"/>
      <c r="G53" s="20" t="n">
        <v>1</v>
      </c>
      <c r="H53" s="11" t="inlineStr">
        <is>
          <t>CONCLUÍDO</t>
        </is>
      </c>
      <c r="I53" s="77" t="n"/>
    </row>
    <row r="54" ht="21" customHeight="1" s="100">
      <c r="A54" s="76" t="n">
        <v>51</v>
      </c>
      <c r="B54" s="76" t="inlineStr">
        <is>
          <t>Board Review Albert Einstein</t>
        </is>
      </c>
      <c r="C54" s="76" t="inlineStr">
        <is>
          <t>Simpósio</t>
        </is>
      </c>
      <c r="D54" s="76" t="inlineStr">
        <is>
          <t>Contratos Palestrantes</t>
        </is>
      </c>
      <c r="E54" s="76" t="n"/>
      <c r="F54" s="131" t="n"/>
      <c r="G54" s="20" t="n">
        <v>0</v>
      </c>
      <c r="H54" s="11" t="inlineStr">
        <is>
          <t>PENDENTE</t>
        </is>
      </c>
      <c r="I54" s="76" t="n"/>
    </row>
    <row r="55" ht="21" customHeight="1" s="100">
      <c r="A55" s="77" t="n">
        <v>52</v>
      </c>
      <c r="B55" s="77" t="inlineStr">
        <is>
          <t>Board Review Albert Einstein</t>
        </is>
      </c>
      <c r="C55" s="77" t="inlineStr">
        <is>
          <t>Sociedade</t>
        </is>
      </c>
      <c r="D55" s="77" t="inlineStr">
        <is>
          <t>Contrato (cota)</t>
        </is>
      </c>
      <c r="E55" s="77" t="n"/>
      <c r="F55" s="131" t="n"/>
      <c r="G55" s="20" t="n">
        <v>1</v>
      </c>
      <c r="H55" s="11" t="inlineStr">
        <is>
          <t>CONCLUÍDO</t>
        </is>
      </c>
      <c r="I55" s="77" t="n"/>
    </row>
    <row r="56" ht="21" customHeight="1" s="100">
      <c r="A56" s="76" t="n">
        <v>53</v>
      </c>
      <c r="B56" s="76" t="inlineStr">
        <is>
          <t>Board Review Albert Einstein</t>
        </is>
      </c>
      <c r="C56" s="76" t="inlineStr">
        <is>
          <t>Stand</t>
        </is>
      </c>
      <c r="D56" s="76" t="inlineStr">
        <is>
          <t>Documentação Prefeitura (SP/RJ/Gramado)</t>
        </is>
      </c>
      <c r="E56" s="76" t="n"/>
      <c r="F56" s="131" t="n"/>
      <c r="G56" s="20" t="n">
        <v>1</v>
      </c>
      <c r="H56" s="11" t="inlineStr">
        <is>
          <t>CONCLUÍDO</t>
        </is>
      </c>
      <c r="I56" s="76" t="n"/>
    </row>
    <row r="57" ht="21" customHeight="1" s="100">
      <c r="A57" s="77" t="n">
        <v>54</v>
      </c>
      <c r="B57" s="77" t="inlineStr">
        <is>
          <t>Board Review Albert Einstein</t>
        </is>
      </c>
      <c r="C57" s="77" t="inlineStr">
        <is>
          <t>Buffet</t>
        </is>
      </c>
      <c r="D57" s="77" t="inlineStr">
        <is>
          <t>Solicitar Orçamento buffet stand</t>
        </is>
      </c>
      <c r="E57" s="77" t="n"/>
      <c r="F57" s="131" t="n"/>
      <c r="G57" s="20" t="n">
        <v>1</v>
      </c>
      <c r="H57" s="11" t="inlineStr">
        <is>
          <t>CONCLUÍDO</t>
        </is>
      </c>
      <c r="I57" s="77" t="n"/>
    </row>
    <row r="58" ht="21" customHeight="1" s="100">
      <c r="A58" s="76" t="n">
        <v>55</v>
      </c>
      <c r="B58" s="76" t="inlineStr">
        <is>
          <t>Board Review Albert Einstein</t>
        </is>
      </c>
      <c r="C58" s="76" t="inlineStr">
        <is>
          <t>Staff</t>
        </is>
      </c>
      <c r="D58" s="76" t="inlineStr">
        <is>
          <t>Lista de staff participantes/ Escala</t>
        </is>
      </c>
      <c r="E58" s="76" t="n"/>
      <c r="F58" s="131" t="n"/>
      <c r="G58" s="20" t="n">
        <v>1</v>
      </c>
      <c r="H58" s="11" t="inlineStr">
        <is>
          <t>CONCLUÍDO</t>
        </is>
      </c>
      <c r="I58" s="76" t="n"/>
    </row>
    <row r="59" ht="21" customHeight="1" s="100">
      <c r="A59" s="77" t="n">
        <v>56</v>
      </c>
      <c r="B59" s="77" t="inlineStr">
        <is>
          <t>Board Review Albert Einstein</t>
        </is>
      </c>
      <c r="C59" s="77" t="inlineStr">
        <is>
          <t>Ag. Logística</t>
        </is>
      </c>
      <c r="D59" s="77" t="inlineStr">
        <is>
          <t>Coordenador</t>
        </is>
      </c>
      <c r="E59" s="77" t="n"/>
      <c r="F59" s="131" t="n"/>
      <c r="G59" s="20" t="n">
        <v>0</v>
      </c>
      <c r="H59" s="11" t="inlineStr">
        <is>
          <t>PENDENTE</t>
        </is>
      </c>
      <c r="I59" s="77" t="n"/>
    </row>
    <row r="60" ht="21" customHeight="1" s="100">
      <c r="A60" s="76" t="n">
        <v>57</v>
      </c>
      <c r="B60" s="76" t="inlineStr">
        <is>
          <t>Board Review Albert Einstein</t>
        </is>
      </c>
      <c r="C60" s="76" t="inlineStr">
        <is>
          <t>Alinhamentos Finais</t>
        </is>
      </c>
      <c r="D60" s="76" t="inlineStr">
        <is>
          <t>Email Informações Gerais</t>
        </is>
      </c>
      <c r="E60" s="76" t="n"/>
      <c r="F60" s="131" t="n"/>
      <c r="G60" s="20" t="n">
        <v>0</v>
      </c>
      <c r="H60" s="11" t="inlineStr">
        <is>
          <t>PENDENTE</t>
        </is>
      </c>
      <c r="I60" s="76" t="n"/>
    </row>
    <row r="61" ht="21" customHeight="1" s="100">
      <c r="A61" s="77" t="n">
        <v>58</v>
      </c>
      <c r="B61" s="77" t="inlineStr">
        <is>
          <t>Board Review Albert Einstein</t>
        </is>
      </c>
      <c r="C61" s="77" t="inlineStr">
        <is>
          <t>Pós Evento</t>
        </is>
      </c>
      <c r="D61" s="77" t="inlineStr">
        <is>
          <t>Evidência de contrapartidas</t>
        </is>
      </c>
      <c r="E61" s="77" t="n"/>
      <c r="F61" s="131" t="n"/>
      <c r="G61" s="20" t="n">
        <v>0</v>
      </c>
      <c r="H61" s="11" t="inlineStr">
        <is>
          <t>PENDENTE</t>
        </is>
      </c>
      <c r="I61" s="77" t="n"/>
    </row>
    <row r="62" ht="21" customHeight="1" s="100">
      <c r="A62" s="76" t="n">
        <v>59</v>
      </c>
      <c r="B62" s="76" t="inlineStr">
        <is>
          <t>Board Review Albert Einstein</t>
        </is>
      </c>
      <c r="C62" s="76" t="inlineStr">
        <is>
          <t>CONTRAPARTIDAS</t>
        </is>
      </c>
      <c r="D62" s="76" t="n"/>
      <c r="E62" s="76" t="n"/>
      <c r="F62" s="131" t="n"/>
      <c r="G62" s="20" t="n">
        <v>1</v>
      </c>
      <c r="H62" s="11" t="inlineStr">
        <is>
          <t>CONCLUÍDO</t>
        </is>
      </c>
      <c r="I62" s="108" t="inlineStr">
        <is>
          <t xml:space="preserve">Stand 4m² 
Exibição de vídeo institucional durante intervalos (1'30)
Sessão exclusiva no sistema de acesso ao Certificado, possibilidade de exibir um e-book, publicação 
científica ou uma aula gravada de 15' diretamente no sistema de acesso ao certificado do evento.
Menção honrosa na abertura oficial do evento
Liberação de acessos ao Evento - Participantes e Expositor (20 acessos)
</t>
        </is>
      </c>
    </row>
    <row r="63" ht="21" customHeight="1" s="100">
      <c r="A63" s="77" t="n">
        <v>60</v>
      </c>
      <c r="B63" s="77" t="inlineStr">
        <is>
          <t>Board Review Albert Einstein</t>
        </is>
      </c>
      <c r="C63" s="77" t="n"/>
      <c r="D63" s="77" t="n"/>
      <c r="E63" s="77" t="n"/>
      <c r="F63" s="131" t="n"/>
      <c r="G63" s="20" t="n">
        <v>1</v>
      </c>
      <c r="H63" s="11" t="inlineStr">
        <is>
          <t>CONCLUÍDO</t>
        </is>
      </c>
      <c r="I63" s="77" t="n"/>
    </row>
    <row r="64" ht="21" customHeight="1" s="100">
      <c r="A64" s="76" t="n">
        <v>61</v>
      </c>
      <c r="B64" s="76" t="inlineStr">
        <is>
          <t>Board Review Albert Einstein</t>
        </is>
      </c>
      <c r="C64" s="76" t="n"/>
      <c r="D64" s="76" t="n"/>
      <c r="E64" s="107" t="n"/>
      <c r="F64" s="131" t="n"/>
      <c r="G64" s="20" t="n">
        <v>1</v>
      </c>
      <c r="H64" s="11" t="inlineStr">
        <is>
          <t>CONCLUÍDO</t>
        </is>
      </c>
      <c r="I64" s="11" t="n"/>
    </row>
    <row r="65" ht="21" customHeight="1" s="100">
      <c r="A65" s="77" t="n">
        <v>62</v>
      </c>
      <c r="B65" s="77" t="inlineStr">
        <is>
          <t>Board Review Albert Einstein</t>
        </is>
      </c>
      <c r="C65" s="77" t="n"/>
      <c r="D65" s="77" t="n"/>
      <c r="E65" s="108" t="n"/>
      <c r="F65" s="131" t="n"/>
      <c r="G65" s="20" t="n">
        <v>0</v>
      </c>
      <c r="H65" s="11" t="inlineStr">
        <is>
          <t>PENDENTE</t>
        </is>
      </c>
      <c r="I65" s="14" t="n"/>
    </row>
    <row r="66" ht="21" customHeight="1" s="100">
      <c r="A66" s="76" t="n">
        <v>63</v>
      </c>
      <c r="B66" s="76" t="inlineStr">
        <is>
          <t>Board Review Albert Einstein</t>
        </is>
      </c>
      <c r="C66" s="76" t="n"/>
      <c r="D66" s="76" t="n"/>
      <c r="E66" s="107" t="n"/>
      <c r="F66" s="131" t="n"/>
      <c r="G66" s="20" t="n">
        <v>0</v>
      </c>
      <c r="H66" s="11" t="inlineStr">
        <is>
          <t>PENDENTE</t>
        </is>
      </c>
      <c r="I66" s="11" t="n"/>
    </row>
    <row r="67" ht="21" customHeight="1" s="100">
      <c r="A67" s="77" t="n">
        <v>64</v>
      </c>
      <c r="B67" s="77" t="inlineStr">
        <is>
          <t>Board Review Albert Einstein</t>
        </is>
      </c>
      <c r="C67" s="77" t="n"/>
      <c r="D67" s="77" t="n"/>
      <c r="E67" s="108" t="n"/>
      <c r="F67" s="131" t="n"/>
      <c r="G67" s="20" t="n">
        <v>0</v>
      </c>
      <c r="H67" s="11" t="inlineStr">
        <is>
          <t>PENDENTE</t>
        </is>
      </c>
      <c r="I67" s="14" t="n"/>
    </row>
    <row r="68" ht="21" customHeight="1" s="100">
      <c r="A68" s="76" t="n">
        <v>65</v>
      </c>
      <c r="B68" s="76" t="inlineStr">
        <is>
          <t>CONASENS</t>
        </is>
      </c>
      <c r="C68" s="76" t="inlineStr">
        <is>
          <t>Planejamento</t>
        </is>
      </c>
      <c r="D68" s="76" t="inlineStr">
        <is>
          <t>Briefing</t>
        </is>
      </c>
      <c r="E68" s="76" t="n"/>
      <c r="F68" s="131" t="n"/>
      <c r="G68" s="20" t="n">
        <v>0</v>
      </c>
      <c r="H68" s="11" t="inlineStr">
        <is>
          <t>PENDENTE</t>
        </is>
      </c>
      <c r="I68" s="76" t="n"/>
    </row>
    <row r="69" ht="21" customHeight="1" s="100">
      <c r="A69" s="77" t="n">
        <v>66</v>
      </c>
      <c r="B69" s="77" t="inlineStr">
        <is>
          <t>CONASENS</t>
        </is>
      </c>
      <c r="C69" s="77" t="inlineStr">
        <is>
          <t>VEEVA</t>
        </is>
      </c>
      <c r="D69" s="77" t="inlineStr">
        <is>
          <t>EM Cota</t>
        </is>
      </c>
      <c r="E69" s="77" t="n"/>
      <c r="F69" s="131" t="n"/>
      <c r="G69" s="20" t="n">
        <v>0</v>
      </c>
      <c r="H69" s="11" t="inlineStr">
        <is>
          <t>PENDENTE</t>
        </is>
      </c>
      <c r="I69" s="77" t="n"/>
    </row>
    <row r="70" ht="21" customHeight="1" s="100">
      <c r="A70" s="76" t="n">
        <v>67</v>
      </c>
      <c r="B70" s="76" t="inlineStr">
        <is>
          <t>CONASENS</t>
        </is>
      </c>
      <c r="C70" s="76" t="inlineStr">
        <is>
          <t>Simpósio</t>
        </is>
      </c>
      <c r="D70" s="76" t="inlineStr">
        <is>
          <t>Contratos Palestrantes</t>
        </is>
      </c>
      <c r="E70" s="76" t="n"/>
      <c r="F70" s="131" t="n"/>
      <c r="G70" s="20" t="n">
        <v>0</v>
      </c>
      <c r="H70" s="11" t="inlineStr">
        <is>
          <t>PENDENTE</t>
        </is>
      </c>
      <c r="I70" s="76" t="n"/>
    </row>
    <row r="71" ht="21" customHeight="1" s="100">
      <c r="A71" s="77" t="n">
        <v>68</v>
      </c>
      <c r="B71" s="77" t="inlineStr">
        <is>
          <t>CONASENS</t>
        </is>
      </c>
      <c r="C71" s="77" t="inlineStr">
        <is>
          <t>Sociedade</t>
        </is>
      </c>
      <c r="D71" s="77" t="inlineStr">
        <is>
          <t>Contrato (cota)</t>
        </is>
      </c>
      <c r="E71" s="77" t="n"/>
      <c r="F71" s="131" t="n"/>
      <c r="G71" s="20" t="n">
        <v>0</v>
      </c>
      <c r="H71" s="11" t="inlineStr">
        <is>
          <t>PENDENTE</t>
        </is>
      </c>
      <c r="I71" s="77" t="n"/>
    </row>
    <row r="72" ht="21" customHeight="1" s="100">
      <c r="A72" s="76" t="n">
        <v>69</v>
      </c>
      <c r="B72" s="76" t="inlineStr">
        <is>
          <t>CONASENS</t>
        </is>
      </c>
      <c r="C72" s="76" t="inlineStr">
        <is>
          <t>Stand</t>
        </is>
      </c>
      <c r="D72" s="76" t="inlineStr">
        <is>
          <t>Documentação Prefeitura (SP/RJ/Gramado)</t>
        </is>
      </c>
      <c r="E72" s="76" t="n"/>
      <c r="F72" s="131" t="n"/>
      <c r="G72" s="20" t="n">
        <v>0</v>
      </c>
      <c r="H72" s="11" t="inlineStr">
        <is>
          <t>PENDENTE</t>
        </is>
      </c>
      <c r="I72" s="76" t="n"/>
    </row>
    <row r="73" ht="21" customHeight="1" s="100">
      <c r="A73" s="77" t="n">
        <v>70</v>
      </c>
      <c r="B73" s="77" t="inlineStr">
        <is>
          <t>CONASENS</t>
        </is>
      </c>
      <c r="C73" s="108" t="inlineStr">
        <is>
          <t>Simpósio</t>
        </is>
      </c>
      <c r="D73" s="77" t="inlineStr">
        <is>
          <t>Solicitar Orçamento buffet stand</t>
        </is>
      </c>
      <c r="E73" s="77" t="n"/>
      <c r="F73" s="131" t="n"/>
      <c r="G73" s="20" t="n">
        <v>0</v>
      </c>
      <c r="H73" s="11" t="inlineStr">
        <is>
          <t>PENDENTE</t>
        </is>
      </c>
      <c r="I73" s="77" t="n"/>
    </row>
    <row r="74" ht="21" customHeight="1" s="100">
      <c r="A74" s="76" t="n">
        <v>71</v>
      </c>
      <c r="B74" s="76" t="inlineStr">
        <is>
          <t>CONASENS</t>
        </is>
      </c>
      <c r="C74" s="76" t="inlineStr">
        <is>
          <t>Staff</t>
        </is>
      </c>
      <c r="D74" s="76" t="inlineStr">
        <is>
          <t>Lista de staff participantes/ Escala</t>
        </is>
      </c>
      <c r="E74" s="76" t="n"/>
      <c r="F74" s="131" t="n"/>
      <c r="G74" s="20" t="n">
        <v>0</v>
      </c>
      <c r="H74" s="11" t="inlineStr">
        <is>
          <t>PENDENTE</t>
        </is>
      </c>
      <c r="I74" s="76" t="n"/>
    </row>
    <row r="75" ht="21" customHeight="1" s="100">
      <c r="A75" s="77" t="n">
        <v>72</v>
      </c>
      <c r="B75" s="77" t="inlineStr">
        <is>
          <t>CONASENS</t>
        </is>
      </c>
      <c r="C75" s="77" t="inlineStr">
        <is>
          <t>Ag. Logística</t>
        </is>
      </c>
      <c r="D75" s="77" t="inlineStr">
        <is>
          <t>Coordenador</t>
        </is>
      </c>
      <c r="E75" s="77" t="n"/>
      <c r="F75" s="131" t="n"/>
      <c r="G75" s="20" t="n">
        <v>0</v>
      </c>
      <c r="H75" s="11" t="inlineStr">
        <is>
          <t>PENDENTE</t>
        </is>
      </c>
      <c r="I75" s="77" t="n"/>
    </row>
    <row r="76" ht="21" customHeight="1" s="100">
      <c r="A76" s="76" t="n">
        <v>73</v>
      </c>
      <c r="B76" s="76" t="inlineStr">
        <is>
          <t>CONASENS</t>
        </is>
      </c>
      <c r="C76" s="76" t="inlineStr">
        <is>
          <t>Alinhamentos Finais</t>
        </is>
      </c>
      <c r="D76" s="76" t="inlineStr">
        <is>
          <t>Email Informações Gerais</t>
        </is>
      </c>
      <c r="E76" s="76" t="n"/>
      <c r="F76" s="131" t="n"/>
      <c r="G76" s="20" t="n">
        <v>0</v>
      </c>
      <c r="H76" s="11" t="inlineStr">
        <is>
          <t>PENDENTE</t>
        </is>
      </c>
      <c r="I76" s="76" t="n"/>
    </row>
    <row r="77" ht="21" customHeight="1" s="100">
      <c r="A77" s="77" t="n">
        <v>74</v>
      </c>
      <c r="B77" s="77" t="inlineStr">
        <is>
          <t>CONASENS</t>
        </is>
      </c>
      <c r="C77" s="77" t="inlineStr">
        <is>
          <t>Pós Evento</t>
        </is>
      </c>
      <c r="D77" s="77" t="inlineStr">
        <is>
          <t>Evidência de contrapartidas</t>
        </is>
      </c>
      <c r="E77" s="77" t="n"/>
      <c r="F77" s="131" t="n"/>
      <c r="G77" s="20" t="n">
        <v>0</v>
      </c>
      <c r="H77" s="11" t="inlineStr">
        <is>
          <t>PENDENTE</t>
        </is>
      </c>
      <c r="I77" s="77" t="n"/>
    </row>
    <row r="78" ht="21" customHeight="1" s="100">
      <c r="A78" s="76" t="n">
        <v>75</v>
      </c>
      <c r="B78" s="76" t="inlineStr">
        <is>
          <t>CONASENS</t>
        </is>
      </c>
      <c r="C78" s="76" t="inlineStr">
        <is>
          <t>CONTRAPARTIDAS - Cota Ouro</t>
        </is>
      </c>
      <c r="D78" s="76" t="n"/>
      <c r="E78" s="76" t="n"/>
      <c r="F78" s="131" t="n"/>
      <c r="G78" s="20" t="n">
        <v>0</v>
      </c>
      <c r="H78" s="11" t="inlineStr">
        <is>
          <t>PENDENTE</t>
        </is>
      </c>
      <c r="I78" s="76" t="n"/>
    </row>
    <row r="79" ht="21" customHeight="1" s="100">
      <c r="A79" s="77" t="n">
        <v>76</v>
      </c>
      <c r="B79" s="77" t="inlineStr">
        <is>
          <t>CONASENS</t>
        </is>
      </c>
      <c r="C79" s="77" t="inlineStr">
        <is>
          <t>Cota de Patrocínio</t>
        </is>
      </c>
      <c r="D79" s="77" t="n"/>
      <c r="E79" s="77" t="n"/>
      <c r="F79" s="131" t="n"/>
      <c r="G79" s="20" t="n">
        <v>0</v>
      </c>
      <c r="H79" s="11" t="inlineStr">
        <is>
          <t>PENDENTE</t>
        </is>
      </c>
      <c r="I79" s="77" t="inlineStr">
        <is>
          <t>130000</t>
        </is>
      </c>
    </row>
    <row r="80" ht="21" customHeight="1" s="100">
      <c r="A80" s="76" t="n">
        <v>77</v>
      </c>
      <c r="B80" s="76" t="inlineStr">
        <is>
          <t>CONASENS</t>
        </is>
      </c>
      <c r="C80" s="76" t="inlineStr">
        <is>
          <t>Stand</t>
        </is>
      </c>
      <c r="D80" s="76" t="n"/>
      <c r="E80" s="76" t="n"/>
      <c r="F80" s="131" t="n"/>
      <c r="G80" s="20" t="n">
        <v>0</v>
      </c>
      <c r="H80" s="11" t="inlineStr">
        <is>
          <t>PENDENTE</t>
        </is>
      </c>
      <c r="I80" s="76" t="inlineStr">
        <is>
          <t>24m²</t>
        </is>
      </c>
    </row>
    <row r="81" ht="21" customHeight="1" s="100">
      <c r="A81" s="77" t="n">
        <v>78</v>
      </c>
      <c r="B81" s="77" t="inlineStr">
        <is>
          <t>CONASENS</t>
        </is>
      </c>
      <c r="C81" s="77" t="inlineStr">
        <is>
          <t>Credenciais Staff</t>
        </is>
      </c>
      <c r="D81" s="77" t="n"/>
      <c r="E81" s="77" t="n"/>
      <c r="F81" s="131" t="n"/>
      <c r="G81" s="20" t="n">
        <v>0</v>
      </c>
      <c r="H81" s="11" t="inlineStr">
        <is>
          <t>PENDENTE</t>
        </is>
      </c>
      <c r="I81" s="77" t="inlineStr">
        <is>
          <t>4 unidades</t>
        </is>
      </c>
    </row>
    <row r="82" ht="21" customHeight="1" s="100">
      <c r="A82" s="76" t="n">
        <v>79</v>
      </c>
      <c r="B82" s="76" t="inlineStr">
        <is>
          <t>CONASENS</t>
        </is>
      </c>
      <c r="C82" s="76" t="inlineStr">
        <is>
          <t>Credenciais Congressistas</t>
        </is>
      </c>
      <c r="D82" s="76" t="n"/>
      <c r="E82" s="76" t="n"/>
      <c r="F82" s="131" t="n"/>
      <c r="G82" s="20" t="n">
        <v>0</v>
      </c>
      <c r="H82" s="11" t="inlineStr">
        <is>
          <t>PENDENTE</t>
        </is>
      </c>
      <c r="I82" s="76" t="inlineStr">
        <is>
          <t>6 unidades</t>
        </is>
      </c>
    </row>
    <row r="83" ht="21" customHeight="1" s="100">
      <c r="A83" s="77" t="n">
        <v>80</v>
      </c>
      <c r="B83" s="77" t="inlineStr">
        <is>
          <t>CONASENS</t>
        </is>
      </c>
      <c r="C83" s="77" t="inlineStr">
        <is>
          <t>Bolsas Congresso</t>
        </is>
      </c>
      <c r="D83" s="77" t="n"/>
      <c r="E83" s="77" t="n"/>
      <c r="F83" s="131" t="n"/>
      <c r="G83" s="20" t="n">
        <v>0</v>
      </c>
      <c r="H83" s="11" t="inlineStr">
        <is>
          <t>PENDENTE</t>
        </is>
      </c>
      <c r="I83" s="77" t="inlineStr">
        <is>
          <t>10 unidades</t>
        </is>
      </c>
    </row>
    <row r="84" ht="21" customHeight="1" s="100">
      <c r="A84" s="76" t="n">
        <v>81</v>
      </c>
      <c r="B84" s="76" t="inlineStr">
        <is>
          <t>CONASENS</t>
        </is>
      </c>
      <c r="C84" s="76" t="inlineStr">
        <is>
          <t>LOGOMARCA EM HOTSITE</t>
        </is>
      </c>
      <c r="D84" s="76" t="n"/>
      <c r="E84" s="76" t="n"/>
      <c r="F84" s="131" t="n"/>
      <c r="G84" s="20" t="n">
        <v>0</v>
      </c>
      <c r="H84" s="11" t="inlineStr">
        <is>
          <t>PENDENTE</t>
        </is>
      </c>
      <c r="I84" s="76" t="inlineStr">
        <is>
          <t>logo Takeda - Com link para o site do Patrocinador</t>
        </is>
      </c>
    </row>
    <row r="85" ht="21" customHeight="1" s="100">
      <c r="A85" s="77" t="n">
        <v>82</v>
      </c>
      <c r="B85" s="77" t="inlineStr">
        <is>
          <t>CONASENS</t>
        </is>
      </c>
      <c r="C85" s="77" t="inlineStr">
        <is>
          <t>LOGOMARCA EM CARDS DE REDES SOCIAIS</t>
        </is>
      </c>
      <c r="D85" s="77" t="n"/>
      <c r="E85" s="77" t="n"/>
      <c r="F85" s="131" t="n"/>
      <c r="G85" s="20" t="n">
        <v>0</v>
      </c>
      <c r="H85" s="11" t="inlineStr">
        <is>
          <t>PENDENTE</t>
        </is>
      </c>
      <c r="I85" s="77" t="inlineStr">
        <is>
          <t>logo Takeda</t>
        </is>
      </c>
    </row>
    <row r="86" ht="21" customHeight="1" s="100">
      <c r="A86" s="76" t="n">
        <v>83</v>
      </c>
      <c r="B86" s="76" t="inlineStr">
        <is>
          <t>CONASENS</t>
        </is>
      </c>
      <c r="C86" s="76" t="inlineStr">
        <is>
          <t>PERÍODO DE DIVULGAÇÃO PRÉ-EVENTO</t>
        </is>
      </c>
      <c r="D86" s="76" t="n"/>
      <c r="E86" s="76" t="n"/>
      <c r="F86" s="131" t="n"/>
      <c r="G86" s="20" t="n">
        <v>0</v>
      </c>
      <c r="H86" s="11" t="inlineStr">
        <is>
          <t>PENDENTE</t>
        </is>
      </c>
      <c r="I86" s="76" t="inlineStr">
        <is>
          <t>até 8 meses - A depender da data da adesão</t>
        </is>
      </c>
    </row>
    <row r="87" ht="21" customHeight="1" s="100">
      <c r="A87" s="77" t="n">
        <v>84</v>
      </c>
      <c r="B87" s="77" t="inlineStr">
        <is>
          <t>CONASENS</t>
        </is>
      </c>
      <c r="C87" s="77" t="inlineStr">
        <is>
          <t>VÍDEO DE DIVULGAÇÃO NA FEIRA</t>
        </is>
      </c>
      <c r="D87" s="77" t="n"/>
      <c r="E87" s="77" t="n"/>
      <c r="F87" s="131" t="n"/>
      <c r="G87" s="20" t="n">
        <v>0</v>
      </c>
      <c r="H87" s="11" t="inlineStr">
        <is>
          <t>PENDENTE</t>
        </is>
      </c>
      <c r="I87" s="77" t="inlineStr">
        <is>
          <t>30 segundos - Em looping no painel de LED</t>
        </is>
      </c>
    </row>
    <row r="88" ht="21" customHeight="1" s="100">
      <c r="A88" s="76" t="n">
        <v>85</v>
      </c>
      <c r="B88" s="76" t="inlineStr">
        <is>
          <t>CONASENS</t>
        </is>
      </c>
      <c r="C88" s="76" t="inlineStr">
        <is>
          <t>LOGOMARCA EM TOTENS DE SALAS/AUDITÓRIOS</t>
        </is>
      </c>
      <c r="D88" s="76" t="n"/>
      <c r="E88" s="76" t="n"/>
      <c r="F88" s="131" t="n"/>
      <c r="G88" s="20" t="n">
        <v>0</v>
      </c>
      <c r="H88" s="11" t="inlineStr">
        <is>
          <t>PENDENTE</t>
        </is>
      </c>
      <c r="I88" s="76" t="inlineStr">
        <is>
          <t>logo Takeda</t>
        </is>
      </c>
    </row>
    <row r="89" ht="21" customHeight="1" s="100">
      <c r="A89" s="77" t="n">
        <v>86</v>
      </c>
      <c r="B89" s="77" t="inlineStr">
        <is>
          <t>CONASENS</t>
        </is>
      </c>
      <c r="C89" s="77" t="inlineStr">
        <is>
          <t>LOGOMARCA EM PÓRTICO DE ENTRADA</t>
        </is>
      </c>
      <c r="D89" s="77" t="n"/>
      <c r="E89" s="77" t="n"/>
      <c r="F89" s="131" t="n"/>
      <c r="G89" s="20" t="n">
        <v>0</v>
      </c>
      <c r="H89" s="11" t="inlineStr">
        <is>
          <t>PENDENTE</t>
        </is>
      </c>
      <c r="I89" s="77" t="inlineStr">
        <is>
          <t>logo Takeda</t>
        </is>
      </c>
    </row>
    <row r="90" ht="21" customHeight="1" s="100">
      <c r="A90" s="76" t="n">
        <v>87</v>
      </c>
      <c r="B90" s="76" t="inlineStr">
        <is>
          <t>CONASENS</t>
        </is>
      </c>
      <c r="C90" s="76" t="inlineStr">
        <is>
          <t>LOGOMARCA EM FUNDO DE PALCO PRINCIPAL</t>
        </is>
      </c>
      <c r="D90" s="76" t="n"/>
      <c r="E90" s="76" t="n"/>
      <c r="F90" s="131" t="n"/>
      <c r="G90" s="20" t="n">
        <v>0</v>
      </c>
      <c r="H90" s="11" t="inlineStr">
        <is>
          <t>PENDENTE</t>
        </is>
      </c>
      <c r="I90" s="76" t="inlineStr">
        <is>
          <t>logo Takeda</t>
        </is>
      </c>
    </row>
    <row r="91" ht="21" customHeight="1" s="100">
      <c r="A91" s="77" t="n">
        <v>88</v>
      </c>
      <c r="B91" s="77" t="inlineStr">
        <is>
          <t>CONASENS</t>
        </is>
      </c>
      <c r="C91" s="77" t="inlineStr">
        <is>
          <t>REALIZAÇÃO DE ATIVIDADE</t>
        </is>
      </c>
      <c r="D91" s="77" t="n"/>
      <c r="E91" s="77" t="n"/>
      <c r="F91" s="131" t="n"/>
      <c r="G91" s="20" t="n">
        <v>0</v>
      </c>
      <c r="H91" s="11" t="inlineStr">
        <is>
          <t>PENDENTE</t>
        </is>
      </c>
      <c r="I91" s="77" t="inlineStr">
        <is>
          <t>Ação promocional - No próprio Estande (se houver)</t>
        </is>
      </c>
    </row>
    <row r="92" ht="21" customHeight="1" s="100">
      <c r="A92" s="76" t="n">
        <v>89</v>
      </c>
      <c r="B92" s="76" t="inlineStr">
        <is>
          <t>CONASENS</t>
        </is>
      </c>
      <c r="C92" s="76" t="inlineStr">
        <is>
          <t>ENCARTE DE MATERIAL NAS BOLSAS</t>
        </is>
      </c>
      <c r="D92" s="76" t="n"/>
      <c r="E92" s="76" t="n"/>
      <c r="F92" s="131" t="n"/>
      <c r="G92" s="20" t="n">
        <v>0</v>
      </c>
      <c r="H92" s="11" t="inlineStr">
        <is>
          <t>PENDENTE</t>
        </is>
      </c>
      <c r="I92" s="76" t="inlineStr">
        <is>
          <t>1 lâmina - Propaganda ou similar, de produção própria, aprovada pelo CONASEMS</t>
        </is>
      </c>
    </row>
    <row r="93" ht="21" customHeight="1" s="100">
      <c r="A93" s="77" t="n">
        <v>90</v>
      </c>
      <c r="B93" s="77" t="inlineStr">
        <is>
          <t>CONASENS</t>
        </is>
      </c>
      <c r="C93" s="77" t="inlineStr">
        <is>
          <t>LOGOMARCA EM HOTSITE PÓS-EVENTO</t>
        </is>
      </c>
      <c r="D93" s="77" t="n"/>
      <c r="E93" s="77" t="n"/>
      <c r="F93" s="131" t="n"/>
      <c r="G93" s="20" t="n">
        <v>0</v>
      </c>
      <c r="H93" s="11" t="inlineStr">
        <is>
          <t>PENDENTE</t>
        </is>
      </c>
      <c r="I93" s="77" t="inlineStr">
        <is>
          <t>logo TakedaPor 30 (trinta) dias após o término do EVENTO</t>
        </is>
      </c>
    </row>
    <row r="94" ht="21" customHeight="1" s="100">
      <c r="A94" s="76" t="n">
        <v>91</v>
      </c>
      <c r="B94" s="76" t="inlineStr">
        <is>
          <t>CONASENS</t>
        </is>
      </c>
      <c r="C94" s="76" t="inlineStr">
        <is>
          <t>Credencial Extra</t>
        </is>
      </c>
      <c r="D94" s="76" t="n"/>
      <c r="E94" s="76" t="n"/>
      <c r="F94" s="131" t="n"/>
      <c r="G94" s="20" t="n">
        <v>0</v>
      </c>
      <c r="H94" s="11" t="inlineStr">
        <is>
          <t>PENDENTE</t>
        </is>
      </c>
      <c r="I94" s="76" t="inlineStr">
        <is>
          <t>500,00*</t>
        </is>
      </c>
    </row>
    <row r="95" ht="21" customHeight="1" s="100">
      <c r="A95" s="77" t="n">
        <v>92</v>
      </c>
      <c r="B95" s="77" t="inlineStr">
        <is>
          <t>CONASENS</t>
        </is>
      </c>
      <c r="C95" s="77" t="inlineStr">
        <is>
          <t>*Em caso de necessidade de um maior número de inscrições de Expositores, serão solicitados dados
necessários para análise de concessão de desconto na inscrição</t>
        </is>
      </c>
      <c r="D95" s="77" t="n"/>
      <c r="E95" s="77" t="n"/>
      <c r="F95" s="131" t="n"/>
      <c r="G95" s="20" t="n">
        <v>0</v>
      </c>
      <c r="H95" s="11" t="inlineStr">
        <is>
          <t>PENDENTE</t>
        </is>
      </c>
      <c r="I95" s="77" t="n"/>
    </row>
    <row r="96" ht="21" customHeight="1" s="100">
      <c r="A96" s="76" t="n">
        <v>93</v>
      </c>
      <c r="B96" s="76" t="inlineStr">
        <is>
          <t>APRENDER CRIANÇA 2026</t>
        </is>
      </c>
      <c r="C96" s="76" t="inlineStr">
        <is>
          <t>Planejamento</t>
        </is>
      </c>
      <c r="D96" s="76" t="inlineStr">
        <is>
          <t>Briefing</t>
        </is>
      </c>
      <c r="E96" s="76" t="n"/>
      <c r="F96" s="131" t="n"/>
      <c r="G96" s="20" t="n">
        <v>1</v>
      </c>
      <c r="H96" s="11" t="inlineStr">
        <is>
          <t>CONCLUÍDO</t>
        </is>
      </c>
      <c r="I96" s="76" t="n"/>
    </row>
    <row r="97" ht="21" customHeight="1" s="100">
      <c r="A97" s="77" t="n">
        <v>94</v>
      </c>
      <c r="B97" s="77" t="inlineStr">
        <is>
          <t>APRENDER CRIANÇA 2026</t>
        </is>
      </c>
      <c r="C97" s="77" t="inlineStr">
        <is>
          <t>VEEVA</t>
        </is>
      </c>
      <c r="D97" s="77" t="inlineStr">
        <is>
          <t>EM Aprovada</t>
        </is>
      </c>
      <c r="E97" s="77" t="n"/>
      <c r="F97" s="131" t="n"/>
      <c r="G97" s="20" t="n">
        <v>1</v>
      </c>
      <c r="H97" s="11" t="inlineStr">
        <is>
          <t>CONCLUÍDO</t>
        </is>
      </c>
      <c r="I97" s="77" t="n"/>
    </row>
    <row r="98" ht="21" customHeight="1" s="100">
      <c r="A98" s="76" t="n">
        <v>95</v>
      </c>
      <c r="B98" s="76" t="inlineStr">
        <is>
          <t>APRENDER CRIANÇA 2026</t>
        </is>
      </c>
      <c r="C98" s="76" t="inlineStr">
        <is>
          <t>Sociedade</t>
        </is>
      </c>
      <c r="D98" s="76" t="inlineStr">
        <is>
          <t>Proposta</t>
        </is>
      </c>
      <c r="E98" s="76" t="n"/>
      <c r="F98" s="131" t="n"/>
      <c r="G98" s="20" t="n">
        <v>1</v>
      </c>
      <c r="H98" s="11" t="inlineStr">
        <is>
          <t>CONCLUÍDO</t>
        </is>
      </c>
      <c r="I98" s="76" t="n"/>
    </row>
    <row r="99" ht="21" customHeight="1" s="100">
      <c r="A99" s="77" t="n">
        <v>96</v>
      </c>
      <c r="B99" s="77" t="inlineStr">
        <is>
          <t>APRENDER CRIANÇA 2026</t>
        </is>
      </c>
      <c r="C99" s="77" t="inlineStr">
        <is>
          <t>Simpósio</t>
        </is>
      </c>
      <c r="D99" s="77" t="inlineStr">
        <is>
          <t>EM Aprovada</t>
        </is>
      </c>
      <c r="E99" s="77" t="n"/>
      <c r="F99" s="131" t="n"/>
      <c r="G99" s="20" t="n">
        <v>1</v>
      </c>
      <c r="H99" s="11" t="inlineStr">
        <is>
          <t>CONCLUÍDO</t>
        </is>
      </c>
      <c r="I99" s="77" t="n"/>
    </row>
    <row r="100" ht="21" customHeight="1" s="100">
      <c r="A100" s="76" t="n">
        <v>97</v>
      </c>
      <c r="B100" s="76" t="inlineStr">
        <is>
          <t>APRENDER CRIANÇA 2026</t>
        </is>
      </c>
      <c r="C100" s="76" t="inlineStr">
        <is>
          <t>Stand</t>
        </is>
      </c>
      <c r="D100" s="76" t="inlineStr">
        <is>
          <t>Documentação Prefeitura (RJ/Gramado)</t>
        </is>
      </c>
      <c r="E100" s="76" t="n"/>
      <c r="F100" s="131" t="n"/>
      <c r="G100" s="20" t="n">
        <v>0</v>
      </c>
      <c r="H100" s="11" t="inlineStr">
        <is>
          <t>PENDENTE</t>
        </is>
      </c>
      <c r="I100" s="76" t="inlineStr">
        <is>
          <t>-</t>
        </is>
      </c>
    </row>
    <row r="101" ht="21" customHeight="1" s="100">
      <c r="A101" s="77" t="n">
        <v>98</v>
      </c>
      <c r="B101" s="77" t="inlineStr">
        <is>
          <t>APRENDER CRIANÇA 2026</t>
        </is>
      </c>
      <c r="C101" s="77" t="inlineStr">
        <is>
          <t>Buffet</t>
        </is>
      </c>
      <c r="D101" s="77" t="inlineStr">
        <is>
          <t>Orçamento Stand</t>
        </is>
      </c>
      <c r="E101" s="77" t="n"/>
      <c r="F101" s="131" t="n"/>
      <c r="G101" s="20" t="n">
        <v>0</v>
      </c>
      <c r="H101" s="11" t="inlineStr">
        <is>
          <t>PENDENTE</t>
        </is>
      </c>
      <c r="I101" s="77" t="inlineStr">
        <is>
          <t>-</t>
        </is>
      </c>
    </row>
    <row r="102" ht="21" customHeight="1" s="100">
      <c r="A102" s="76" t="n">
        <v>99</v>
      </c>
      <c r="B102" s="76" t="inlineStr">
        <is>
          <t>APRENDER CRIANÇA 2026</t>
        </is>
      </c>
      <c r="C102" s="76" t="inlineStr">
        <is>
          <t>Staff</t>
        </is>
      </c>
      <c r="D102" s="76" t="inlineStr">
        <is>
          <t>Lista de staff participantes/ Escala</t>
        </is>
      </c>
      <c r="E102" s="76" t="n"/>
      <c r="F102" s="131" t="n"/>
      <c r="G102" s="20" t="n">
        <v>0</v>
      </c>
      <c r="H102" s="11" t="inlineStr">
        <is>
          <t>PENDENTE</t>
        </is>
      </c>
      <c r="I102" s="76" t="n"/>
    </row>
    <row r="103" ht="21" customHeight="1" s="100">
      <c r="A103" s="77" t="n">
        <v>100</v>
      </c>
      <c r="B103" s="77" t="inlineStr">
        <is>
          <t>APRENDER CRIANÇA 2026</t>
        </is>
      </c>
      <c r="C103" s="77" t="inlineStr">
        <is>
          <t>Ag. Logística</t>
        </is>
      </c>
      <c r="D103" s="77" t="inlineStr">
        <is>
          <t>Coordenador</t>
        </is>
      </c>
      <c r="E103" s="77" t="n"/>
      <c r="F103" s="131" t="n"/>
      <c r="G103" s="20" t="n">
        <v>0</v>
      </c>
      <c r="H103" s="11" t="inlineStr">
        <is>
          <t>PENDENTE</t>
        </is>
      </c>
      <c r="I103" s="77" t="n"/>
    </row>
    <row r="104" ht="21" customHeight="1" s="100">
      <c r="A104" s="76" t="n">
        <v>101</v>
      </c>
      <c r="B104" s="76" t="inlineStr">
        <is>
          <t>APRENDER CRIANÇA 2026</t>
        </is>
      </c>
      <c r="C104" s="76" t="inlineStr">
        <is>
          <t>Alinhamentos Finais</t>
        </is>
      </c>
      <c r="D104" s="76" t="inlineStr">
        <is>
          <t>Email Informações Gerais</t>
        </is>
      </c>
      <c r="E104" s="76" t="n"/>
      <c r="F104" s="131" t="n"/>
      <c r="G104" s="20" t="n">
        <v>0</v>
      </c>
      <c r="H104" s="11" t="inlineStr">
        <is>
          <t>PENDENTE</t>
        </is>
      </c>
      <c r="I104" s="76" t="n"/>
    </row>
    <row r="105" ht="21" customHeight="1" s="100">
      <c r="A105" s="77" t="n">
        <v>102</v>
      </c>
      <c r="B105" s="77" t="inlineStr">
        <is>
          <t>Advisory Board Fruzaqla</t>
        </is>
      </c>
      <c r="C105" s="77" t="inlineStr">
        <is>
          <t>Plan</t>
        </is>
      </c>
      <c r="D105" s="77" t="inlineStr">
        <is>
          <t>Briefing</t>
        </is>
      </c>
      <c r="E105" s="77" t="n"/>
      <c r="F105" s="131" t="n"/>
      <c r="G105" s="20" t="n">
        <v>1</v>
      </c>
      <c r="H105" s="11" t="inlineStr">
        <is>
          <t>CONCLUÍDO</t>
        </is>
      </c>
      <c r="I105" s="77" t="n"/>
    </row>
    <row r="106" ht="21" customHeight="1" s="100">
      <c r="A106" s="76" t="n">
        <v>103</v>
      </c>
      <c r="B106" s="76" t="inlineStr">
        <is>
          <t>Advisory Board Fruzaqla</t>
        </is>
      </c>
      <c r="C106" s="76" t="inlineStr">
        <is>
          <t>VEEVA</t>
        </is>
      </c>
      <c r="D106" s="76" t="inlineStr">
        <is>
          <t>EM Aprovada</t>
        </is>
      </c>
      <c r="E106" s="76" t="n"/>
      <c r="F106" s="131" t="n"/>
      <c r="G106" s="20" t="n">
        <v>0</v>
      </c>
      <c r="H106" s="11" t="inlineStr">
        <is>
          <t>PENDENTE</t>
        </is>
      </c>
      <c r="I106" s="76" t="n"/>
    </row>
    <row r="107" ht="21" customHeight="1" s="100">
      <c r="A107" s="77" t="n">
        <v>104</v>
      </c>
      <c r="B107" s="77" t="inlineStr">
        <is>
          <t>Advisory Board Fruzaqla</t>
        </is>
      </c>
      <c r="C107" s="77" t="inlineStr">
        <is>
          <t>Ag. Logística</t>
        </is>
      </c>
      <c r="D107" s="77" t="inlineStr">
        <is>
          <t>Briefing para agênci</t>
        </is>
      </c>
      <c r="E107" s="77" t="n"/>
      <c r="F107" s="131" t="n"/>
      <c r="G107" s="20" t="n">
        <v>1</v>
      </c>
      <c r="H107" s="11" t="inlineStr">
        <is>
          <t>CONCLUÍDO</t>
        </is>
      </c>
      <c r="I107" s="77" t="n"/>
    </row>
    <row r="108" ht="21" customHeight="1" s="100">
      <c r="A108" s="76" t="n">
        <v>105</v>
      </c>
      <c r="B108" s="76" t="inlineStr">
        <is>
          <t>Advisory Board Fruzaqla</t>
        </is>
      </c>
      <c r="C108" s="76" t="inlineStr">
        <is>
          <t>Agg. Produção</t>
        </is>
      </c>
      <c r="D108" s="76" t="inlineStr">
        <is>
          <t>Solicitar orçamento</t>
        </is>
      </c>
      <c r="E108" s="76" t="n"/>
      <c r="F108" s="131" t="n"/>
      <c r="G108" s="20" t="n">
        <v>0</v>
      </c>
      <c r="H108" s="11" t="inlineStr">
        <is>
          <t>PENDENTE</t>
        </is>
      </c>
      <c r="I108" s="76" t="n"/>
    </row>
    <row r="109" ht="21" customHeight="1" s="100">
      <c r="A109" s="77" t="n">
        <v>106</v>
      </c>
      <c r="B109" s="77" t="inlineStr">
        <is>
          <t>Advisory Board Fruzaqla</t>
        </is>
      </c>
      <c r="C109" s="77" t="inlineStr">
        <is>
          <t>Palestrantes</t>
        </is>
      </c>
      <c r="D109" s="77" t="inlineStr">
        <is>
          <t>Contrato Palestrantes</t>
        </is>
      </c>
      <c r="E109" s="77" t="n"/>
      <c r="F109" s="131" t="n"/>
      <c r="G109" s="20" t="n">
        <v>0</v>
      </c>
      <c r="H109" s="11" t="inlineStr">
        <is>
          <t>PENDENTE</t>
        </is>
      </c>
      <c r="I109" s="77" t="n"/>
    </row>
    <row r="110" ht="21" customHeight="1" s="100">
      <c r="A110" s="76" t="n">
        <v>107</v>
      </c>
      <c r="B110" s="76" t="inlineStr">
        <is>
          <t>Advisory Board Fruzaqla</t>
        </is>
      </c>
      <c r="C110" s="76" t="inlineStr">
        <is>
          <t>RSVP</t>
        </is>
      </c>
      <c r="D110" s="76" t="inlineStr">
        <is>
          <t>Envio das planilhas com dados dos convidados</t>
        </is>
      </c>
      <c r="E110" s="76" t="n"/>
      <c r="F110" s="131" t="n"/>
      <c r="G110" s="20" t="n">
        <v>0</v>
      </c>
      <c r="H110" s="11" t="inlineStr">
        <is>
          <t>PENDENTE</t>
        </is>
      </c>
      <c r="I110" s="76" t="n"/>
    </row>
    <row r="111" ht="21" customHeight="1" s="100">
      <c r="A111" s="77" t="n">
        <v>108</v>
      </c>
      <c r="B111" s="77" t="inlineStr">
        <is>
          <t>MASTERCLASS 2026</t>
        </is>
      </c>
      <c r="C111" s="77" t="inlineStr">
        <is>
          <t>Planejamento</t>
        </is>
      </c>
      <c r="D111" s="77" t="inlineStr">
        <is>
          <t>Briefing com Time de Marca</t>
        </is>
      </c>
      <c r="E111" s="108" t="inlineStr">
        <is>
          <t>Time de Marca</t>
        </is>
      </c>
      <c r="F111" s="131" t="n"/>
      <c r="G111" s="20" t="n">
        <v>0.5</v>
      </c>
      <c r="H111" s="14" t="inlineStr">
        <is>
          <t>EM ANDAMENTO</t>
        </is>
      </c>
      <c r="I111" s="77" t="n"/>
    </row>
    <row r="112" ht="21" customHeight="1" s="100">
      <c r="A112" s="76" t="n">
        <v>109</v>
      </c>
      <c r="B112" s="76" t="inlineStr">
        <is>
          <t>MASTERCLASS 2026</t>
        </is>
      </c>
      <c r="C112" s="76" t="inlineStr">
        <is>
          <t>Planejamento</t>
        </is>
      </c>
      <c r="D112" s="76" t="inlineStr">
        <is>
          <t>Inclusão no calendário de eventos</t>
        </is>
      </c>
      <c r="E112" s="107" t="inlineStr">
        <is>
          <t>Eventos</t>
        </is>
      </c>
      <c r="F112" s="131" t="n"/>
      <c r="G112" s="20" t="n">
        <v>0</v>
      </c>
      <c r="H112" s="11" t="inlineStr">
        <is>
          <t>PENDENTE</t>
        </is>
      </c>
      <c r="I112" s="76" t="n"/>
    </row>
    <row r="113" ht="21" customHeight="1" s="100">
      <c r="A113" s="77" t="n">
        <v>110</v>
      </c>
      <c r="B113" s="77" t="inlineStr">
        <is>
          <t>MASTERCLASS 2026</t>
        </is>
      </c>
      <c r="C113" s="77" t="inlineStr">
        <is>
          <t>VEEVA</t>
        </is>
      </c>
      <c r="D113" s="77" t="inlineStr">
        <is>
          <t>EM aprovada (Cota)</t>
        </is>
      </c>
      <c r="E113" s="108" t="inlineStr">
        <is>
          <t>Time de Marca</t>
        </is>
      </c>
      <c r="F113" s="131" t="n"/>
      <c r="G113" s="20" t="n">
        <v>0</v>
      </c>
      <c r="H113" s="11" t="inlineStr">
        <is>
          <t>PENDENTE</t>
        </is>
      </c>
      <c r="I113" s="77" t="n"/>
    </row>
    <row r="114" ht="21" customHeight="1" s="100">
      <c r="A114" s="76" t="n">
        <v>111</v>
      </c>
      <c r="B114" s="76" t="inlineStr">
        <is>
          <t>MASTERCLASS 2026</t>
        </is>
      </c>
      <c r="C114" s="76" t="inlineStr">
        <is>
          <t>VEEVA</t>
        </is>
      </c>
      <c r="D114" s="76" t="inlineStr">
        <is>
          <t>EM aprovada (Apoio)</t>
        </is>
      </c>
      <c r="E114" s="107" t="inlineStr">
        <is>
          <t>Time de Marca</t>
        </is>
      </c>
      <c r="F114" s="131" t="n"/>
      <c r="G114" s="20" t="n">
        <v>0</v>
      </c>
      <c r="H114" s="11" t="inlineStr">
        <is>
          <t>PENDENTE</t>
        </is>
      </c>
      <c r="I114" s="76" t="n"/>
    </row>
    <row r="115" ht="21" customHeight="1" s="100">
      <c r="A115" s="77" t="n">
        <v>112</v>
      </c>
      <c r="B115" s="77" t="inlineStr">
        <is>
          <t>MASTERCLASS 2026</t>
        </is>
      </c>
      <c r="C115" s="77" t="inlineStr">
        <is>
          <t>VEEVA</t>
        </is>
      </c>
      <c r="D115" s="77" t="inlineStr">
        <is>
          <t>EM aprovada (Simpósio)</t>
        </is>
      </c>
      <c r="E115" s="108" t="inlineStr">
        <is>
          <t>Time de Marca</t>
        </is>
      </c>
      <c r="F115" s="131" t="n"/>
      <c r="G115" s="20" t="n">
        <v>0</v>
      </c>
      <c r="H115" s="11" t="inlineStr">
        <is>
          <t>PENDENTE</t>
        </is>
      </c>
      <c r="I115" s="77" t="n"/>
    </row>
    <row r="116" ht="21" customHeight="1" s="100">
      <c r="A116" s="76" t="n">
        <v>113</v>
      </c>
      <c r="B116" s="76" t="inlineStr">
        <is>
          <t>MASTERCLASS 2026</t>
        </is>
      </c>
      <c r="C116" s="76" t="inlineStr">
        <is>
          <t>VEEVA</t>
        </is>
      </c>
      <c r="D116" s="76" t="inlineStr">
        <is>
          <t>Incluir time de Processos/Pagamentos</t>
        </is>
      </c>
      <c r="E116" s="107" t="inlineStr">
        <is>
          <t>Eventos</t>
        </is>
      </c>
      <c r="F116" s="131" t="n"/>
      <c r="G116" s="20" t="n">
        <v>0</v>
      </c>
      <c r="H116" s="11" t="inlineStr">
        <is>
          <t>PENDENTE</t>
        </is>
      </c>
      <c r="I116" s="76" t="n"/>
    </row>
    <row r="117" ht="21" customHeight="1" s="100">
      <c r="A117" s="77" t="n">
        <v>114</v>
      </c>
      <c r="B117" s="77" t="inlineStr">
        <is>
          <t>MASTERCLASS 2026</t>
        </is>
      </c>
      <c r="C117" s="77" t="inlineStr">
        <is>
          <t>VEEVA</t>
        </is>
      </c>
      <c r="D117" s="77" t="inlineStr">
        <is>
          <t>Incluir Agência Logística na EM</t>
        </is>
      </c>
      <c r="E117" s="108" t="inlineStr">
        <is>
          <t>Eventos</t>
        </is>
      </c>
      <c r="F117" s="131" t="n"/>
      <c r="G117" s="20" t="n">
        <v>0</v>
      </c>
      <c r="H117" s="11" t="inlineStr">
        <is>
          <t>PENDENTE</t>
        </is>
      </c>
      <c r="I117" s="77" t="n"/>
    </row>
    <row r="118" ht="21" customHeight="1" s="100">
      <c r="A118" s="76" t="n">
        <v>115</v>
      </c>
      <c r="B118" s="76" t="inlineStr">
        <is>
          <t>MASTERCLASS 2026</t>
        </is>
      </c>
      <c r="C118" s="76" t="inlineStr">
        <is>
          <t>Sociedade</t>
        </is>
      </c>
      <c r="D118" s="76" t="inlineStr">
        <is>
          <t>Contrato de Cota recebido</t>
        </is>
      </c>
      <c r="E118" s="107" t="inlineStr">
        <is>
          <t>Eventos</t>
        </is>
      </c>
      <c r="F118" s="131" t="n"/>
      <c r="G118" s="20" t="n">
        <v>0</v>
      </c>
      <c r="H118" s="11" t="inlineStr">
        <is>
          <t>PENDENTE</t>
        </is>
      </c>
      <c r="I118" s="76" t="n"/>
    </row>
    <row r="119" ht="21" customHeight="1" s="100">
      <c r="A119" s="77" t="n">
        <v>116</v>
      </c>
      <c r="B119" s="76" t="inlineStr">
        <is>
          <t>MASTERCLASS 2026</t>
        </is>
      </c>
      <c r="C119" s="77" t="inlineStr">
        <is>
          <t>Sociedade</t>
        </is>
      </c>
      <c r="D119" s="77" t="inlineStr">
        <is>
          <t>Envio de logo para Sociedade</t>
        </is>
      </c>
      <c r="E119" s="108" t="inlineStr">
        <is>
          <t>Eventos</t>
        </is>
      </c>
      <c r="F119" s="131" t="n"/>
      <c r="G119" s="20" t="n">
        <v>0</v>
      </c>
      <c r="H119" s="11" t="inlineStr">
        <is>
          <t>PENDENTE</t>
        </is>
      </c>
      <c r="I119" s="77" t="n"/>
    </row>
    <row r="120" ht="21" customHeight="1" s="100">
      <c r="A120" s="76" t="n">
        <v>117</v>
      </c>
      <c r="B120" s="76" t="inlineStr">
        <is>
          <t>MASTERCLASS 2026</t>
        </is>
      </c>
      <c r="C120" s="76" t="inlineStr">
        <is>
          <t>Sociedade</t>
        </is>
      </c>
      <c r="D120" s="76" t="inlineStr">
        <is>
          <t>Monitorar contrapartidas</t>
        </is>
      </c>
      <c r="E120" s="107" t="inlineStr">
        <is>
          <t>Eventos</t>
        </is>
      </c>
      <c r="F120" s="131" t="n"/>
      <c r="G120" s="20" t="n">
        <v>0</v>
      </c>
      <c r="H120" s="11" t="inlineStr">
        <is>
          <t>PENDENTE</t>
        </is>
      </c>
      <c r="I120" s="76" t="n"/>
    </row>
    <row r="121" ht="21" customHeight="1" s="100">
      <c r="A121" s="77" t="n">
        <v>118</v>
      </c>
      <c r="B121" s="76" t="inlineStr">
        <is>
          <t>MASTERCLASS 2026</t>
        </is>
      </c>
      <c r="C121" s="77" t="inlineStr">
        <is>
          <t>Agência</t>
        </is>
      </c>
      <c r="D121" s="77" t="inlineStr">
        <is>
          <t>Briefing para agência logística</t>
        </is>
      </c>
      <c r="E121" s="108" t="inlineStr">
        <is>
          <t>Eventos</t>
        </is>
      </c>
      <c r="F121" s="131" t="n"/>
      <c r="G121" s="20" t="n">
        <v>0</v>
      </c>
      <c r="H121" s="11" t="inlineStr">
        <is>
          <t>PENDENTE</t>
        </is>
      </c>
      <c r="I121" s="77" t="n"/>
    </row>
    <row r="122" ht="21" customHeight="1" s="100">
      <c r="A122" s="76" t="n">
        <v>119</v>
      </c>
      <c r="B122" s="76" t="inlineStr">
        <is>
          <t>MASTERCLASS 2026</t>
        </is>
      </c>
      <c r="C122" s="76" t="inlineStr">
        <is>
          <t>Agência</t>
        </is>
      </c>
      <c r="D122" s="76" t="inlineStr">
        <is>
          <t>Solicitar orçamento</t>
        </is>
      </c>
      <c r="E122" s="107" t="inlineStr">
        <is>
          <t>Eventos</t>
        </is>
      </c>
      <c r="F122" s="131" t="n"/>
      <c r="G122" s="20" t="n">
        <v>0</v>
      </c>
      <c r="H122" s="11" t="inlineStr">
        <is>
          <t>PENDENTE</t>
        </is>
      </c>
      <c r="I122" s="76" t="n"/>
    </row>
    <row r="123" ht="21" customHeight="1" s="100">
      <c r="A123" s="77" t="n">
        <v>120</v>
      </c>
      <c r="B123" s="76" t="inlineStr">
        <is>
          <t>MASTERCLASS 2026</t>
        </is>
      </c>
      <c r="C123" s="77" t="inlineStr">
        <is>
          <t>Agência</t>
        </is>
      </c>
      <c r="D123" s="77" t="inlineStr">
        <is>
          <t>Aprovação do orçamento</t>
        </is>
      </c>
      <c r="E123" s="108" t="inlineStr">
        <is>
          <t>Time de Marca</t>
        </is>
      </c>
      <c r="F123" s="131" t="n"/>
      <c r="G123" s="20" t="n">
        <v>0</v>
      </c>
      <c r="H123" s="11" t="inlineStr">
        <is>
          <t>PENDENTE</t>
        </is>
      </c>
      <c r="I123" s="77" t="n"/>
    </row>
    <row r="124" ht="21" customHeight="1" s="100">
      <c r="A124" s="76" t="n">
        <v>121</v>
      </c>
      <c r="B124" s="76" t="inlineStr">
        <is>
          <t>MASTERCLASS 2026</t>
        </is>
      </c>
      <c r="C124" s="76" t="inlineStr">
        <is>
          <t>Agência</t>
        </is>
      </c>
      <c r="D124" s="76" t="inlineStr">
        <is>
          <t>Criação de PO</t>
        </is>
      </c>
      <c r="E124" s="107" t="inlineStr">
        <is>
          <t>Eventos</t>
        </is>
      </c>
      <c r="F124" s="131" t="n"/>
      <c r="G124" s="20" t="n">
        <v>0</v>
      </c>
      <c r="H124" s="11" t="inlineStr">
        <is>
          <t>PENDENTE</t>
        </is>
      </c>
      <c r="I124" s="76" t="n"/>
    </row>
    <row r="125" ht="21" customHeight="1" s="100">
      <c r="A125" s="76" t="n">
        <v>122</v>
      </c>
      <c r="B125" s="76" t="inlineStr">
        <is>
          <t>MASTERCLASS 2026</t>
        </is>
      </c>
      <c r="C125" s="76" t="inlineStr">
        <is>
          <t>Agência</t>
        </is>
      </c>
      <c r="D125" s="76" t="inlineStr">
        <is>
          <t>RSVP / Inscrições HCPs</t>
        </is>
      </c>
      <c r="E125" s="107" t="inlineStr">
        <is>
          <t>Eventos</t>
        </is>
      </c>
      <c r="F125" s="131" t="n"/>
      <c r="G125" s="20" t="n">
        <v>0</v>
      </c>
      <c r="H125" s="11" t="inlineStr">
        <is>
          <t>PENDENTE</t>
        </is>
      </c>
      <c r="I125" s="77" t="n"/>
    </row>
    <row r="126" ht="21" customHeight="1" s="100">
      <c r="A126" s="76" t="n">
        <v>123</v>
      </c>
      <c r="B126" s="76" t="inlineStr">
        <is>
          <t>MASTERCLASS 2026</t>
        </is>
      </c>
      <c r="C126" s="76" t="inlineStr">
        <is>
          <t>Simpósio</t>
        </is>
      </c>
      <c r="D126" s="76" t="inlineStr">
        <is>
          <t>Contratos de Palestrantes</t>
        </is>
      </c>
      <c r="E126" s="107" t="inlineStr">
        <is>
          <t>Eventos</t>
        </is>
      </c>
      <c r="F126" s="131" t="n"/>
      <c r="G126" s="20" t="n">
        <v>0</v>
      </c>
      <c r="H126" s="11" t="inlineStr">
        <is>
          <t>PENDENTE</t>
        </is>
      </c>
      <c r="I126" s="76" t="n"/>
    </row>
    <row r="127" ht="21" customHeight="1" s="100">
      <c r="A127" s="76" t="n">
        <v>124</v>
      </c>
      <c r="B127" s="76" t="inlineStr">
        <is>
          <t>MASTERCLASS 2026</t>
        </is>
      </c>
      <c r="C127" s="76" t="inlineStr">
        <is>
          <t>Simpósio</t>
        </is>
      </c>
      <c r="D127" s="76" t="inlineStr">
        <is>
          <t>PO Palestrantes aprovada</t>
        </is>
      </c>
      <c r="E127" s="107" t="inlineStr">
        <is>
          <t>Eventos</t>
        </is>
      </c>
      <c r="F127" s="131" t="n"/>
      <c r="G127" s="20" t="n">
        <v>0</v>
      </c>
      <c r="H127" s="11" t="inlineStr">
        <is>
          <t>PENDENTE</t>
        </is>
      </c>
      <c r="I127" s="77" t="n"/>
    </row>
    <row r="128" ht="21" customHeight="1" s="100">
      <c r="A128" s="76" t="n">
        <v>125</v>
      </c>
      <c r="B128" s="76" t="inlineStr">
        <is>
          <t>MASTERCLASS 2026</t>
        </is>
      </c>
      <c r="C128" s="76" t="inlineStr">
        <is>
          <t>Simpósio</t>
        </is>
      </c>
      <c r="D128" s="76" t="inlineStr">
        <is>
          <t>Aditivo (data/horário corretos)</t>
        </is>
      </c>
      <c r="E128" s="107" t="inlineStr">
        <is>
          <t>Eventos</t>
        </is>
      </c>
      <c r="F128" s="131" t="n"/>
      <c r="G128" s="20" t="n">
        <v>0</v>
      </c>
      <c r="H128" s="11" t="inlineStr">
        <is>
          <t>PENDENTE</t>
        </is>
      </c>
      <c r="I128" s="76" t="n"/>
    </row>
    <row r="129" ht="21" customHeight="1" s="100">
      <c r="A129" s="76" t="n">
        <v>126</v>
      </c>
      <c r="B129" s="76" t="inlineStr">
        <is>
          <t>MASTERCLASS 2026</t>
        </is>
      </c>
      <c r="C129" s="76" t="inlineStr">
        <is>
          <t>Simpósio</t>
        </is>
      </c>
      <c r="D129" s="76" t="inlineStr">
        <is>
          <t>Lunch Box / Buffet</t>
        </is>
      </c>
      <c r="E129" s="107" t="inlineStr">
        <is>
          <t>Eventos</t>
        </is>
      </c>
      <c r="F129" s="131" t="n"/>
      <c r="G129" s="20" t="n">
        <v>0</v>
      </c>
      <c r="H129" s="11" t="inlineStr">
        <is>
          <t>PENDENTE</t>
        </is>
      </c>
      <c r="I129" s="77" t="n"/>
    </row>
    <row r="130" ht="21" customHeight="1" s="100">
      <c r="A130" s="76" t="n">
        <v>127</v>
      </c>
      <c r="B130" s="76" t="inlineStr">
        <is>
          <t>MASTERCLASS 2026</t>
        </is>
      </c>
      <c r="C130" s="76" t="inlineStr">
        <is>
          <t>Stand</t>
        </is>
      </c>
      <c r="D130" s="76" t="inlineStr">
        <is>
          <t>Documentação do expositor</t>
        </is>
      </c>
      <c r="E130" s="107" t="inlineStr">
        <is>
          <t>Eventos</t>
        </is>
      </c>
      <c r="F130" s="131" t="n"/>
      <c r="G130" s="20" t="n">
        <v>0</v>
      </c>
      <c r="H130" s="11" t="inlineStr">
        <is>
          <t>PENDENTE</t>
        </is>
      </c>
      <c r="I130" s="76" t="n"/>
    </row>
    <row r="131" ht="21" customHeight="1" s="100">
      <c r="A131" s="76" t="n">
        <v>128</v>
      </c>
      <c r="B131" s="76" t="inlineStr">
        <is>
          <t>MASTERCLASS 2026</t>
        </is>
      </c>
      <c r="C131" s="76" t="inlineStr">
        <is>
          <t>Stand</t>
        </is>
      </c>
      <c r="D131" s="76" t="inlineStr">
        <is>
          <t>Formulários obrigatórios</t>
        </is>
      </c>
      <c r="E131" s="107" t="inlineStr">
        <is>
          <t>Eventos</t>
        </is>
      </c>
      <c r="F131" s="131" t="n"/>
      <c r="G131" s="20" t="n">
        <v>0</v>
      </c>
      <c r="H131" s="11" t="inlineStr">
        <is>
          <t>PENDENTE</t>
        </is>
      </c>
      <c r="I131" s="77" t="n"/>
    </row>
    <row r="132" ht="21" customHeight="1" s="100">
      <c r="A132" s="76" t="n">
        <v>129</v>
      </c>
      <c r="B132" s="76" t="inlineStr">
        <is>
          <t>MASTERCLASS 2026</t>
        </is>
      </c>
      <c r="C132" s="76" t="inlineStr">
        <is>
          <t>Stand</t>
        </is>
      </c>
      <c r="D132" s="76" t="inlineStr">
        <is>
          <t>PO Montadora aprovada</t>
        </is>
      </c>
      <c r="E132" s="107" t="inlineStr">
        <is>
          <t>Eventos</t>
        </is>
      </c>
      <c r="F132" s="131" t="n"/>
      <c r="G132" s="20" t="n">
        <v>0</v>
      </c>
      <c r="H132" s="11" t="inlineStr">
        <is>
          <t>PENDENTE</t>
        </is>
      </c>
      <c r="I132" s="76" t="n"/>
    </row>
    <row r="133" ht="21" customHeight="1" s="100">
      <c r="A133" s="76" t="n">
        <v>130</v>
      </c>
      <c r="B133" s="76" t="inlineStr">
        <is>
          <t>MASTERCLASS 2026</t>
        </is>
      </c>
      <c r="C133" s="76" t="inlineStr">
        <is>
          <t>Pós-Evento</t>
        </is>
      </c>
      <c r="D133" s="76" t="inlineStr">
        <is>
          <t>Solicitação NF/Recibo</t>
        </is>
      </c>
      <c r="E133" s="107" t="inlineStr">
        <is>
          <t>Eventos</t>
        </is>
      </c>
      <c r="F133" s="131" t="n"/>
      <c r="G133" s="20" t="n">
        <v>0</v>
      </c>
      <c r="H133" s="11" t="inlineStr">
        <is>
          <t>PENDENTE</t>
        </is>
      </c>
      <c r="I133" s="77" t="n"/>
    </row>
    <row r="134" ht="21" customHeight="1" s="100">
      <c r="A134" s="76" t="n">
        <v>131</v>
      </c>
      <c r="B134" s="76" t="inlineStr">
        <is>
          <t>MASTERCLASS 2026</t>
        </is>
      </c>
      <c r="C134" s="76" t="inlineStr">
        <is>
          <t>Pós-Evento</t>
        </is>
      </c>
      <c r="D134" s="76" t="inlineStr">
        <is>
          <t>Confirmação de pagamento</t>
        </is>
      </c>
      <c r="E134" s="107" t="inlineStr">
        <is>
          <t>Eventos</t>
        </is>
      </c>
      <c r="F134" s="131" t="n"/>
      <c r="G134" s="20" t="n">
        <v>0</v>
      </c>
      <c r="H134" s="11" t="inlineStr">
        <is>
          <t>PENDENTE</t>
        </is>
      </c>
      <c r="I134" s="76" t="n"/>
    </row>
    <row r="135" ht="21" customHeight="1" s="100">
      <c r="A135" s="76" t="n">
        <v>132</v>
      </c>
      <c r="B135" s="76" t="inlineStr">
        <is>
          <t>MASTERCLASS 2026</t>
        </is>
      </c>
      <c r="C135" s="76" t="inlineStr">
        <is>
          <t>Pós-Evento</t>
        </is>
      </c>
      <c r="D135" s="76" t="inlineStr">
        <is>
          <t>Encerramento da EM</t>
        </is>
      </c>
      <c r="E135" s="107" t="inlineStr">
        <is>
          <t>Eventos</t>
        </is>
      </c>
      <c r="F135" s="131" t="n"/>
      <c r="G135" s="20" t="n">
        <v>0</v>
      </c>
      <c r="H135" s="11" t="inlineStr">
        <is>
          <t>PENDENTE</t>
        </is>
      </c>
      <c r="I135" s="77" t="n"/>
    </row>
    <row r="136" ht="21" customHeight="1" s="100">
      <c r="A136" s="76" t="n">
        <v>133</v>
      </c>
      <c r="B136" s="76" t="inlineStr">
        <is>
          <t>MASTERCLASS 2026</t>
        </is>
      </c>
      <c r="C136" s="76" t="inlineStr">
        <is>
          <t>Pós-Evento</t>
        </is>
      </c>
      <c r="D136" s="76" t="inlineStr">
        <is>
          <t>Relatório de execução</t>
        </is>
      </c>
      <c r="E136" s="107" t="inlineStr">
        <is>
          <t>Eventos</t>
        </is>
      </c>
      <c r="F136" s="131" t="n"/>
      <c r="G136" s="20" t="n">
        <v>0</v>
      </c>
      <c r="H136" s="11" t="inlineStr">
        <is>
          <t>PENDENTE</t>
        </is>
      </c>
      <c r="I136" s="76" t="n"/>
    </row>
    <row r="137" ht="21" customHeight="1" s="100">
      <c r="A137" s="76" t="n">
        <v>134</v>
      </c>
      <c r="B137" s="76" t="inlineStr">
        <is>
          <t>MASTERCLASS 2026</t>
        </is>
      </c>
      <c r="C137" s="76" t="inlineStr">
        <is>
          <t>Pós-Evento</t>
        </is>
      </c>
      <c r="D137" s="76" t="inlineStr">
        <is>
          <t>Atualizar DB_ATIVIDADES</t>
        </is>
      </c>
      <c r="E137" s="107" t="inlineStr">
        <is>
          <t>Eventos</t>
        </is>
      </c>
      <c r="F137" s="131" t="n"/>
      <c r="G137" s="20" t="n">
        <v>0</v>
      </c>
      <c r="H137" s="11" t="inlineStr">
        <is>
          <t>PENDENTE</t>
        </is>
      </c>
      <c r="I137" s="77" t="n"/>
    </row>
    <row r="138" ht="21" customHeight="1" s="100">
      <c r="A138" s="76" t="n">
        <v>137</v>
      </c>
      <c r="B138" s="76" t="inlineStr">
        <is>
          <t>MASTERCLASS 2026</t>
        </is>
      </c>
      <c r="C138" s="77" t="inlineStr">
        <is>
          <t>Alinhamentos Finais</t>
        </is>
      </c>
      <c r="D138" s="77" t="inlineStr">
        <is>
          <t>Email Informações Gerais</t>
        </is>
      </c>
      <c r="E138" s="77" t="n"/>
      <c r="F138" s="131" t="n"/>
      <c r="G138" s="20" t="n">
        <v>0</v>
      </c>
      <c r="H138" s="11" t="inlineStr">
        <is>
          <t>PENDENTE</t>
        </is>
      </c>
      <c r="I138" s="76" t="n"/>
    </row>
    <row r="139" ht="21" customHeight="1" s="100">
      <c r="A139" s="76" t="n">
        <v>138</v>
      </c>
      <c r="B139" s="76" t="inlineStr">
        <is>
          <t>ABENEPI 2026</t>
        </is>
      </c>
      <c r="C139" s="76" t="inlineStr">
        <is>
          <t>Planejamento</t>
        </is>
      </c>
      <c r="D139" s="76" t="inlineStr">
        <is>
          <t>Briefing</t>
        </is>
      </c>
      <c r="E139" s="76" t="n"/>
      <c r="F139" s="131" t="n"/>
      <c r="G139" s="20" t="n">
        <v>0.5</v>
      </c>
      <c r="H139" s="11" t="inlineStr">
        <is>
          <t>EM ANDAMENTO</t>
        </is>
      </c>
      <c r="I139" s="77" t="n"/>
    </row>
    <row r="140" ht="21" customHeight="1" s="100">
      <c r="A140" s="76" t="n">
        <v>139</v>
      </c>
      <c r="B140" s="77" t="inlineStr">
        <is>
          <t>ABENEPI 2026</t>
        </is>
      </c>
      <c r="C140" s="77" t="inlineStr">
        <is>
          <t>VEEVA</t>
        </is>
      </c>
      <c r="D140" s="77" t="inlineStr">
        <is>
          <t>EM Aprovada</t>
        </is>
      </c>
      <c r="E140" s="77" t="n"/>
      <c r="F140" s="131" t="n"/>
      <c r="G140" s="20" t="n">
        <v>1</v>
      </c>
      <c r="H140" s="11" t="inlineStr">
        <is>
          <t>CONCLUÍDO</t>
        </is>
      </c>
      <c r="I140" s="76" t="n"/>
    </row>
    <row r="141" ht="21" customHeight="1" s="100">
      <c r="A141" s="76" t="n">
        <v>140</v>
      </c>
      <c r="B141" s="76" t="inlineStr">
        <is>
          <t>ABENEPI 2026</t>
        </is>
      </c>
      <c r="C141" s="76" t="inlineStr">
        <is>
          <t>Sociedade</t>
        </is>
      </c>
      <c r="D141" s="76" t="inlineStr">
        <is>
          <t>Contrato (cota)</t>
        </is>
      </c>
      <c r="E141" s="76" t="n"/>
      <c r="F141" s="131" t="n"/>
      <c r="G141" s="20" t="n">
        <v>1</v>
      </c>
      <c r="H141" s="11" t="inlineStr">
        <is>
          <t>CONCLUÍDO</t>
        </is>
      </c>
      <c r="I141" s="77" t="n"/>
    </row>
    <row r="142" ht="21" customHeight="1" s="100">
      <c r="A142" s="76" t="n">
        <v>141</v>
      </c>
      <c r="B142" s="77" t="inlineStr">
        <is>
          <t>ABENEPI 2026</t>
        </is>
      </c>
      <c r="C142" s="77" t="inlineStr">
        <is>
          <t>Stand</t>
        </is>
      </c>
      <c r="D142" s="77" t="inlineStr">
        <is>
          <t>Documentação Prefeitura (RJ/Gramado)</t>
        </is>
      </c>
      <c r="E142" s="77" t="n"/>
      <c r="F142" s="131" t="n"/>
      <c r="G142" s="20" t="n">
        <v>0</v>
      </c>
      <c r="H142" s="11" t="inlineStr">
        <is>
          <t>PENDENTE</t>
        </is>
      </c>
      <c r="I142" s="76" t="n"/>
    </row>
    <row r="143" ht="21" customHeight="1" s="100">
      <c r="A143" s="76" t="n">
        <v>142</v>
      </c>
      <c r="B143" s="76" t="inlineStr">
        <is>
          <t>ABENEPI 2026</t>
        </is>
      </c>
      <c r="C143" s="76" t="inlineStr">
        <is>
          <t>Buffet</t>
        </is>
      </c>
      <c r="D143" s="76" t="inlineStr">
        <is>
          <t>Solicitar Orçamento Stand</t>
        </is>
      </c>
      <c r="E143" s="76" t="n"/>
      <c r="F143" s="131" t="n"/>
      <c r="G143" s="20" t="n">
        <v>0</v>
      </c>
      <c r="H143" s="11" t="inlineStr">
        <is>
          <t>PENDENTE</t>
        </is>
      </c>
      <c r="I143" s="77" t="n"/>
    </row>
    <row r="144" ht="21" customHeight="1" s="100">
      <c r="A144" s="76" t="n">
        <v>143</v>
      </c>
      <c r="B144" s="77" t="inlineStr">
        <is>
          <t>ABENEPI 2026</t>
        </is>
      </c>
      <c r="C144" s="77" t="inlineStr">
        <is>
          <t>Staff</t>
        </is>
      </c>
      <c r="D144" s="77" t="inlineStr">
        <is>
          <t>Lista de staff participantes/ Escala</t>
        </is>
      </c>
      <c r="E144" s="77" t="n"/>
      <c r="F144" s="131" t="n"/>
      <c r="G144" s="20" t="n">
        <v>0</v>
      </c>
      <c r="H144" s="11" t="inlineStr">
        <is>
          <t>PENDENTE</t>
        </is>
      </c>
      <c r="I144" s="76" t="n"/>
    </row>
    <row r="145" ht="21" customHeight="1" s="100">
      <c r="A145" s="76" t="n">
        <v>144</v>
      </c>
      <c r="B145" s="76" t="inlineStr">
        <is>
          <t>ABENEPI 2026</t>
        </is>
      </c>
      <c r="C145" s="76" t="inlineStr">
        <is>
          <t>Ag. Logística</t>
        </is>
      </c>
      <c r="D145" s="76" t="inlineStr">
        <is>
          <t>Coordenador</t>
        </is>
      </c>
      <c r="E145" s="76" t="n"/>
      <c r="F145" s="131" t="n"/>
      <c r="G145" s="20" t="n">
        <v>0</v>
      </c>
      <c r="H145" s="11" t="inlineStr">
        <is>
          <t>PENDENTE</t>
        </is>
      </c>
      <c r="I145" s="77" t="n"/>
    </row>
    <row r="146" ht="21" customHeight="1" s="100">
      <c r="A146" s="76" t="n">
        <v>145</v>
      </c>
      <c r="B146" s="77" t="inlineStr">
        <is>
          <t>ABENEPI 2026</t>
        </is>
      </c>
      <c r="C146" s="77" t="inlineStr">
        <is>
          <t>Alinhamentos Finais</t>
        </is>
      </c>
      <c r="D146" s="77" t="inlineStr">
        <is>
          <t>Email Informações Gerais</t>
        </is>
      </c>
      <c r="E146" s="77" t="n"/>
      <c r="F146" s="131" t="n"/>
      <c r="G146" s="20" t="n">
        <v>0</v>
      </c>
      <c r="H146" s="11" t="inlineStr">
        <is>
          <t>PENDENTE</t>
        </is>
      </c>
      <c r="I146" s="76" t="n"/>
    </row>
  </sheetData>
  <mergeCells count="2">
    <mergeCell ref="A1:I1"/>
    <mergeCell ref="A2:I2"/>
  </mergeCells>
  <conditionalFormatting sqref="A4:I146">
    <cfRule type="expression" priority="1" dxfId="67" stopIfTrue="0">
      <formula>=$H4="ATRASADO"</formula>
    </cfRule>
    <cfRule type="expression" priority="2" dxfId="67" stopIfTrue="0">
      <formula>=AND($H4="PENDENTE",ISNUMBER($F4),$F4&lt;TODAY())</formula>
    </cfRule>
    <cfRule type="expression" priority="3" dxfId="68" stopIfTrue="0">
      <formula>=AND($H4="PENDENTE",ISNUMBER($F4),$F4&gt;=TODAY(),$F4&lt;=TODAY()+7)</formula>
    </cfRule>
    <cfRule type="expression" priority="4" dxfId="69" stopIfTrue="0">
      <formula>=$H4="PENDENTE"</formula>
    </cfRule>
    <cfRule type="expression" priority="5" dxfId="70" stopIfTrue="0">
      <formula>=$H4="EM ANDAMENTO"</formula>
    </cfRule>
    <cfRule type="expression" priority="6" dxfId="71" stopIfTrue="0">
      <formula>=$H4="CONCLUÍDO"</formula>
    </cfRule>
  </conditionalFormatting>
  <conditionalFormatting sqref="G4:G146">
    <cfRule type="dataBar" priority="7">
      <dataBar>
        <cfvo type="num" val="0"/>
        <cfvo type="num" val="1"/>
        <color rgb="002E75B6"/>
      </dataBar>
    </cfRule>
  </conditionalFormatting>
  <dataValidations count="3">
    <dataValidation sqref="D4:D146 E4:E21 E25:E62 E68:E146 I79:I94" showDropDown="0" showInputMessage="1" showErrorMessage="1" allowBlank="0" promptTitle="Responsável" type="list">
      <formula1>_xlfn._LONGTEXT("1 lâmina - Propaganda ou similar, de produção própria, aprovada pelo CONASEMS,10 unidades,130000,24m²,30 segundos - Em looping no painel de LED,4 unidades,500,00*,6 unidades,Ação promocional - No próprio Estande (se houver),Briefing,Briefing para agênci,C","ontrato (cota),Contrato Palestrantes,Contratos Palestrantes,Coordenador,Documentação Prefeitura (RJ/Gramado),Documentação Prefeitura (SP/RJ/Gramado),EM Aprovada,EM COTA,EM COTA Aprovada")</formula1>
    </dataValidation>
    <dataValidation sqref="H4:H146" showDropDown="0" showInputMessage="1" showErrorMessage="1" allowBlank="0" promptTitle="Status" type="list">
      <formula1>"CONCLUÍDO,EM ANDAMENTO,PENDENTE,ATRASADO,-"</formula1>
    </dataValidation>
    <dataValidation sqref="F4:F146" showDropDown="0" showInputMessage="1" showErrorMessage="1" allowBlank="1" errorTitle="Data inválida" error="Insira uma data válida (DD/MM/AAAA) ou deixe em branco. Texto não é permitido nesta coluna." promptTitle="Prazo da Atividade" prompt="Insira a data no formato DD/MM/AAAA.&#10;Deixe em branco se ainda não houver prazo definido." type="date" operator="greaterThanOrEqual">
      <formula1>43831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843C0C"/>
    <outlinePr summaryBelow="1" summaryRight="1"/>
    <pageSetUpPr/>
  </sheetPr>
  <dimension ref="A1:N3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K6" sqref="K6"/>
    </sheetView>
  </sheetViews>
  <sheetFormatPr baseColWidth="8" defaultRowHeight="15"/>
  <cols>
    <col width="5" customWidth="1" style="100" min="1" max="1"/>
    <col width="51.5703125" bestFit="1" customWidth="1" style="100" min="2" max="2"/>
    <col width="14" customWidth="1" style="100" min="3" max="3"/>
    <col width="6" customWidth="1" style="100" min="4" max="4"/>
    <col width="15.42578125" bestFit="1" customWidth="1" style="100" min="5" max="5"/>
    <col width="20.85546875" bestFit="1" customWidth="1" style="100" min="6" max="6"/>
    <col width="14" customWidth="1" style="101" min="7" max="7"/>
    <col width="16" customWidth="1" style="101" min="8" max="8"/>
    <col width="14" customWidth="1" style="101" min="9" max="10"/>
    <col width="16" customWidth="1" style="101" min="11" max="11"/>
    <col width="14" customWidth="1" style="101" min="12" max="13"/>
    <col width="38" customWidth="1" style="100" min="14" max="14"/>
  </cols>
  <sheetData>
    <row r="1" ht="27.95" customHeight="1" s="100">
      <c r="A1" s="56" t="inlineStr">
        <is>
          <t>💰 BANCO DE DADOS FINANCEIRO  ·  v4  ·  Alertas de Pagamento</t>
        </is>
      </c>
    </row>
    <row r="2" ht="15.95" customHeight="1" s="100">
      <c r="A2" s="84" t="inlineStr">
        <is>
          <t>🟠 Linha laranja = Status Pag. Pendente  ·  🟡 Amarelo = A preencher  ·  🟢 Pago = verde  ·  PO=Pendente destaca em laranja</t>
        </is>
      </c>
    </row>
    <row r="3" ht="27.95" customHeight="1" s="100">
      <c r="A3" s="22" t="inlineStr">
        <is>
          <t>ID</t>
        </is>
      </c>
      <c r="B3" s="22" t="inlineStr">
        <is>
          <t>Evento</t>
        </is>
      </c>
      <c r="C3" s="22" t="inlineStr">
        <is>
          <t>EM (Padrão)</t>
        </is>
      </c>
      <c r="D3" s="22" t="inlineStr">
        <is>
          <t>FY</t>
        </is>
      </c>
      <c r="E3" s="22" t="inlineStr">
        <is>
          <t>Fornecedor</t>
        </is>
      </c>
      <c r="F3" s="22" t="inlineStr">
        <is>
          <t>Tipo de Custo</t>
        </is>
      </c>
      <c r="G3" s="22" t="inlineStr">
        <is>
          <t>PO/WF</t>
        </is>
      </c>
      <c r="H3" s="22" t="inlineStr">
        <is>
          <t>Orç. Previsto</t>
        </is>
      </c>
      <c r="I3" s="22" t="inlineStr">
        <is>
          <t>Real. FY2025</t>
        </is>
      </c>
      <c r="J3" s="22" t="inlineStr">
        <is>
          <t>Real. FY2026</t>
        </is>
      </c>
      <c r="K3" s="22" t="inlineStr">
        <is>
          <t>Total Evento</t>
        </is>
      </c>
      <c r="L3" s="22" t="inlineStr">
        <is>
          <t>Status Pag.</t>
        </is>
      </c>
      <c r="M3" s="22" t="inlineStr">
        <is>
          <t>Status NF/ND</t>
        </is>
      </c>
      <c r="N3" s="22" t="inlineStr">
        <is>
          <t>Observações</t>
        </is>
      </c>
    </row>
    <row r="4" ht="21.75" customHeight="1" s="100">
      <c r="A4" s="76" t="n">
        <v>1</v>
      </c>
      <c r="B4" s="76" t="inlineStr">
        <is>
          <t>FÓRUM ACESSO 2026</t>
        </is>
      </c>
      <c r="C4" s="76" t="inlineStr">
        <is>
          <t>EM-032441</t>
        </is>
      </c>
      <c r="D4" s="76" t="inlineStr">
        <is>
          <t>2026</t>
        </is>
      </c>
      <c r="E4" s="76" t="inlineStr">
        <is>
          <t>Casa da Vila</t>
        </is>
      </c>
      <c r="F4" s="76" t="inlineStr">
        <is>
          <t>Produção</t>
        </is>
      </c>
      <c r="G4" s="11" t="inlineStr">
        <is>
          <t>8002114181</t>
        </is>
      </c>
      <c r="H4" s="132" t="n">
        <v>154000</v>
      </c>
      <c r="I4" s="132" t="n">
        <v>0</v>
      </c>
      <c r="J4" s="132" t="n">
        <v>154000</v>
      </c>
      <c r="K4" s="132" t="n">
        <v>154000</v>
      </c>
      <c r="L4" s="10" t="inlineStr">
        <is>
          <t>Pago</t>
        </is>
      </c>
      <c r="M4" s="10" t="inlineStr">
        <is>
          <t>Recebida</t>
        </is>
      </c>
      <c r="N4" s="76" t="inlineStr">
        <is>
          <t>verba FY2024</t>
        </is>
      </c>
    </row>
    <row r="5" ht="21.75" customHeight="1" s="100">
      <c r="A5" s="77" t="n">
        <v>2</v>
      </c>
      <c r="B5" s="77" t="inlineStr">
        <is>
          <t>FÓRUM ACESSO 2026</t>
        </is>
      </c>
      <c r="C5" s="77" t="inlineStr">
        <is>
          <t>EM-032441</t>
        </is>
      </c>
      <c r="D5" s="77" t="inlineStr">
        <is>
          <t>2026</t>
        </is>
      </c>
      <c r="E5" s="77" t="inlineStr">
        <is>
          <t>Casa da Vila</t>
        </is>
      </c>
      <c r="F5" s="77" t="inlineStr">
        <is>
          <t>Produção</t>
        </is>
      </c>
      <c r="G5" s="14" t="inlineStr">
        <is>
          <t>8002016936</t>
        </is>
      </c>
      <c r="H5" s="133" t="n">
        <v>236722.92</v>
      </c>
      <c r="I5" s="133" t="n">
        <v>236722.92</v>
      </c>
      <c r="J5" s="133" t="n">
        <v>0</v>
      </c>
      <c r="K5" s="133" t="n">
        <v>236722.92</v>
      </c>
      <c r="L5" s="10" t="inlineStr">
        <is>
          <t>Pago</t>
        </is>
      </c>
      <c r="M5" s="10" t="inlineStr">
        <is>
          <t>Recebida</t>
        </is>
      </c>
      <c r="N5" s="77" t="inlineStr">
        <is>
          <t>Verba FY2025</t>
        </is>
      </c>
    </row>
    <row r="6" ht="21.75" customHeight="1" s="100">
      <c r="A6" s="76" t="n">
        <v>3</v>
      </c>
      <c r="B6" s="76" t="inlineStr">
        <is>
          <t>FÓRUM ACESSO 2026</t>
        </is>
      </c>
      <c r="C6" s="76" t="inlineStr">
        <is>
          <t>EM-032441</t>
        </is>
      </c>
      <c r="D6" s="76" t="inlineStr">
        <is>
          <t>2026</t>
        </is>
      </c>
      <c r="E6" s="76" t="inlineStr">
        <is>
          <t>Casa da Vila</t>
        </is>
      </c>
      <c r="F6" s="76" t="inlineStr">
        <is>
          <t>Produção</t>
        </is>
      </c>
      <c r="G6" s="11" t="inlineStr">
        <is>
          <t>8002118770</t>
        </is>
      </c>
      <c r="H6" s="132" t="n">
        <v>2764.97</v>
      </c>
      <c r="I6" s="132" t="n">
        <v>0</v>
      </c>
      <c r="J6" s="132" t="n">
        <v>2764.97</v>
      </c>
      <c r="K6" s="132" t="n">
        <v>2764.97</v>
      </c>
      <c r="L6" s="10" t="inlineStr">
        <is>
          <t>Pago</t>
        </is>
      </c>
      <c r="M6" s="10" t="inlineStr">
        <is>
          <t>Recebida</t>
        </is>
      </c>
      <c r="N6" s="76" t="n"/>
    </row>
    <row r="7" ht="21.75" customHeight="1" s="100">
      <c r="A7" s="77" t="n">
        <v>4</v>
      </c>
      <c r="B7" s="77" t="inlineStr">
        <is>
          <t>FÓRUM ACESSO 2026</t>
        </is>
      </c>
      <c r="C7" s="77" t="inlineStr">
        <is>
          <t>EM-032441</t>
        </is>
      </c>
      <c r="D7" s="77" t="inlineStr">
        <is>
          <t>2026</t>
        </is>
      </c>
      <c r="E7" s="77" t="inlineStr">
        <is>
          <t>Casa da Vila</t>
        </is>
      </c>
      <c r="F7" s="77" t="inlineStr">
        <is>
          <t>Logística Convidados</t>
        </is>
      </c>
      <c r="G7" s="14" t="inlineStr">
        <is>
          <t>8002102620</t>
        </is>
      </c>
      <c r="H7" s="133" t="n">
        <v>46258.03</v>
      </c>
      <c r="I7" s="133" t="n">
        <v>0</v>
      </c>
      <c r="J7" s="133" t="n">
        <v>0</v>
      </c>
      <c r="K7" s="133" t="n">
        <v>0</v>
      </c>
      <c r="L7" s="14" t="n"/>
      <c r="M7" s="14" t="n"/>
      <c r="N7" s="77" t="n"/>
    </row>
    <row r="8" ht="21.75" customHeight="1" s="100">
      <c r="A8" s="76" t="n">
        <v>5</v>
      </c>
      <c r="B8" s="76" t="inlineStr">
        <is>
          <t>FORUM NACIONAL DE ACESSO GEDIIB BRASÍLIA</t>
        </is>
      </c>
      <c r="C8" s="76" t="inlineStr">
        <is>
          <t>EM-035749</t>
        </is>
      </c>
      <c r="D8" s="76" t="inlineStr">
        <is>
          <t>2026</t>
        </is>
      </c>
      <c r="E8" s="76" t="inlineStr">
        <is>
          <t>Sociedade</t>
        </is>
      </c>
      <c r="F8" s="76" t="inlineStr">
        <is>
          <t>Cota de Patrocínio</t>
        </is>
      </c>
      <c r="G8" s="11" t="inlineStr">
        <is>
          <t>Pendente</t>
        </is>
      </c>
      <c r="H8" s="132" t="n">
        <v>65000</v>
      </c>
      <c r="I8" s="132" t="n">
        <v>0</v>
      </c>
      <c r="J8" s="132" t="n">
        <v>65000</v>
      </c>
      <c r="K8" s="132" t="n">
        <v>65000</v>
      </c>
      <c r="L8" s="21" t="inlineStr">
        <is>
          <t>Pendente</t>
        </is>
      </c>
      <c r="M8" s="21" t="inlineStr">
        <is>
          <t>Pendente</t>
        </is>
      </c>
      <c r="N8" s="76" t="inlineStr">
        <is>
          <t>R$65.000,00 valor total da cota de patrocínio para 2 eventos Brasília e BH</t>
        </is>
      </c>
    </row>
    <row r="9" ht="21.75" customHeight="1" s="100">
      <c r="A9" s="77" t="n">
        <v>6</v>
      </c>
      <c r="B9" s="77" t="inlineStr">
        <is>
          <t>XXIII Congresso Paulista de Medicina do sono 2026</t>
        </is>
      </c>
      <c r="C9" s="77" t="inlineStr">
        <is>
          <t>EM-035470</t>
        </is>
      </c>
      <c r="D9" s="77" t="inlineStr">
        <is>
          <t>2026</t>
        </is>
      </c>
      <c r="E9" s="77" t="inlineStr">
        <is>
          <t>APM</t>
        </is>
      </c>
      <c r="F9" s="77" t="inlineStr">
        <is>
          <t>Cota de Patrocínio</t>
        </is>
      </c>
      <c r="G9" s="14" t="inlineStr">
        <is>
          <t>25000008</t>
        </is>
      </c>
      <c r="H9" s="133" t="n">
        <v>45341.12</v>
      </c>
      <c r="I9" s="133" t="n">
        <v>0</v>
      </c>
      <c r="J9" s="133" t="n">
        <v>45341.12</v>
      </c>
      <c r="K9" s="133" t="n">
        <v>45341.12</v>
      </c>
      <c r="L9" s="10" t="inlineStr">
        <is>
          <t>Pago</t>
        </is>
      </c>
      <c r="M9" s="14" t="n"/>
      <c r="N9" s="77" t="n"/>
    </row>
    <row r="10" ht="21.75" customHeight="1" s="100">
      <c r="A10" s="76" t="n">
        <v>7</v>
      </c>
      <c r="B10" s="76" t="inlineStr">
        <is>
          <t>XXIII Congresso Paulista de Medicina do sono 2026</t>
        </is>
      </c>
      <c r="C10" s="76" t="inlineStr">
        <is>
          <t>EM-035470</t>
        </is>
      </c>
      <c r="D10" s="76" t="inlineStr">
        <is>
          <t>2026</t>
        </is>
      </c>
      <c r="E10" s="76" t="inlineStr">
        <is>
          <t>Incentivare</t>
        </is>
      </c>
      <c r="F10" s="76" t="inlineStr">
        <is>
          <t>Buffet Stand</t>
        </is>
      </c>
      <c r="G10" s="11" t="inlineStr">
        <is>
          <t>8002127900</t>
        </is>
      </c>
      <c r="H10" s="132" t="n">
        <v>25385.17</v>
      </c>
      <c r="I10" s="132" t="n">
        <v>0</v>
      </c>
      <c r="J10" s="132" t="n">
        <v>24965.27</v>
      </c>
      <c r="K10" s="132" t="n">
        <v>0</v>
      </c>
      <c r="L10" s="16" t="inlineStr">
        <is>
          <t>aprovado</t>
        </is>
      </c>
      <c r="M10" s="11" t="n"/>
      <c r="N10" s="76" t="n"/>
    </row>
    <row r="11" ht="21.75" customHeight="1" s="100">
      <c r="A11" s="77" t="n">
        <v>8</v>
      </c>
      <c r="B11" s="77" t="inlineStr">
        <is>
          <t>XXIII Congresso Paulista de Medicina do sono 2026</t>
        </is>
      </c>
      <c r="C11" s="77" t="inlineStr">
        <is>
          <t>EM-035470</t>
        </is>
      </c>
      <c r="D11" s="77" t="inlineStr">
        <is>
          <t>2026</t>
        </is>
      </c>
      <c r="E11" s="77" t="inlineStr">
        <is>
          <t>Poli Design</t>
        </is>
      </c>
      <c r="F11" s="77" t="inlineStr">
        <is>
          <t>Stand</t>
        </is>
      </c>
      <c r="G11" s="14" t="inlineStr">
        <is>
          <t>8002127897</t>
        </is>
      </c>
      <c r="H11" s="133" t="n">
        <v>28224</v>
      </c>
      <c r="I11" s="133" t="n">
        <v>0</v>
      </c>
      <c r="J11" s="133" t="n">
        <v>27674</v>
      </c>
      <c r="K11" s="133" t="n">
        <v>0</v>
      </c>
      <c r="L11" s="10" t="inlineStr">
        <is>
          <t>Pago</t>
        </is>
      </c>
      <c r="M11" s="10" t="inlineStr">
        <is>
          <t>Recebida</t>
        </is>
      </c>
      <c r="N11" s="77" t="n"/>
    </row>
    <row r="12" ht="21.75" customHeight="1" s="100">
      <c r="A12" s="76" t="n">
        <v>9</v>
      </c>
      <c r="B12" s="76" t="inlineStr">
        <is>
          <t>XXIII Congresso Paulista de Medicina do sono 2026</t>
        </is>
      </c>
      <c r="C12" s="76" t="inlineStr">
        <is>
          <t>EM-036101</t>
        </is>
      </c>
      <c r="D12" s="76" t="inlineStr">
        <is>
          <t>2026</t>
        </is>
      </c>
      <c r="E12" s="76" t="inlineStr">
        <is>
          <t>Incentivare</t>
        </is>
      </c>
      <c r="F12" s="76" t="inlineStr">
        <is>
          <t>Lunch Box</t>
        </is>
      </c>
      <c r="G12" s="11" t="inlineStr">
        <is>
          <t>8002127900</t>
        </is>
      </c>
      <c r="H12" s="132" t="n">
        <v>36819.5</v>
      </c>
      <c r="I12" s="132" t="n">
        <v>0</v>
      </c>
      <c r="J12" s="132" t="n">
        <v>36796.5</v>
      </c>
      <c r="K12" s="132" t="n">
        <v>0</v>
      </c>
      <c r="L12" s="16" t="inlineStr">
        <is>
          <t>aprovado</t>
        </is>
      </c>
      <c r="M12" s="11" t="n"/>
      <c r="N12" s="76" t="n"/>
    </row>
    <row r="13" ht="21.75" customHeight="1" s="100">
      <c r="A13" s="77" t="n">
        <v>10</v>
      </c>
      <c r="B13" s="77" t="inlineStr">
        <is>
          <t>XXIII Congresso Paulista de Medicina do sono 2026</t>
        </is>
      </c>
      <c r="C13" s="77" t="inlineStr">
        <is>
          <t>EM-036101</t>
        </is>
      </c>
      <c r="D13" s="77" t="inlineStr">
        <is>
          <t>2026</t>
        </is>
      </c>
      <c r="E13" s="77" t="inlineStr">
        <is>
          <t>FEE Palestrante</t>
        </is>
      </c>
      <c r="F13" s="77" t="inlineStr">
        <is>
          <t>Dr. Morgadinho</t>
        </is>
      </c>
      <c r="G13" s="14" t="inlineStr">
        <is>
          <t>8002126901</t>
        </is>
      </c>
      <c r="H13" s="133" t="n">
        <v>5850</v>
      </c>
      <c r="I13" s="133" t="n">
        <v>0</v>
      </c>
      <c r="J13" s="133" t="n">
        <v>5850</v>
      </c>
      <c r="K13" s="133" t="n">
        <v>0</v>
      </c>
      <c r="L13" s="14" t="n"/>
      <c r="M13" s="14" t="n"/>
      <c r="N13" s="77" t="n"/>
    </row>
    <row r="14" ht="21.75" customHeight="1" s="100">
      <c r="A14" s="76" t="n">
        <v>11</v>
      </c>
      <c r="B14" s="76" t="inlineStr">
        <is>
          <t>XXIII Congresso Paulista de Medicina do sono 2026</t>
        </is>
      </c>
      <c r="C14" s="76" t="inlineStr">
        <is>
          <t>EM-036101</t>
        </is>
      </c>
      <c r="D14" s="76" t="inlineStr">
        <is>
          <t>2026</t>
        </is>
      </c>
      <c r="E14" s="76" t="inlineStr">
        <is>
          <t>FEE Palestrante</t>
        </is>
      </c>
      <c r="F14" s="76" t="inlineStr">
        <is>
          <t>Dra. Dalva</t>
        </is>
      </c>
      <c r="G14" s="11" t="inlineStr">
        <is>
          <t>8002127737</t>
        </is>
      </c>
      <c r="H14" s="132" t="n">
        <v>5850</v>
      </c>
      <c r="I14" s="132" t="n">
        <v>0</v>
      </c>
      <c r="J14" s="132" t="n">
        <v>5850</v>
      </c>
      <c r="K14" s="132" t="n">
        <v>0</v>
      </c>
      <c r="L14" s="11" t="n"/>
      <c r="M14" s="11" t="n"/>
      <c r="N14" s="76" t="n"/>
    </row>
    <row r="15" ht="21.75" customHeight="1" s="100">
      <c r="A15" s="77" t="n">
        <v>12</v>
      </c>
      <c r="B15" s="77" t="inlineStr">
        <is>
          <t>BRAIN 2026</t>
        </is>
      </c>
      <c r="C15" s="77" t="inlineStr">
        <is>
          <t>EM-035749</t>
        </is>
      </c>
      <c r="D15" s="77" t="inlineStr">
        <is>
          <t>2026</t>
        </is>
      </c>
      <c r="E15" s="77" t="inlineStr">
        <is>
          <t>Sociedade</t>
        </is>
      </c>
      <c r="F15" s="77" t="inlineStr">
        <is>
          <t>Cota de Patrocínio</t>
        </is>
      </c>
      <c r="G15" s="14" t="inlineStr">
        <is>
          <t>8002103740</t>
        </is>
      </c>
      <c r="H15" s="133" t="n">
        <v>528676.34</v>
      </c>
      <c r="I15" s="133" t="n">
        <v>528676.34</v>
      </c>
      <c r="J15" s="133" t="n">
        <v>0</v>
      </c>
      <c r="K15" s="133" t="n">
        <v>0</v>
      </c>
      <c r="L15" s="10" t="inlineStr">
        <is>
          <t>Pago</t>
        </is>
      </c>
      <c r="M15" s="10" t="inlineStr">
        <is>
          <t>Recebida</t>
        </is>
      </c>
      <c r="N15" s="77" t="inlineStr">
        <is>
          <t>Verba FY2025 R$ 528.676,34
contrapartidas: Stand + 190 inscrições + Itens</t>
        </is>
      </c>
    </row>
    <row r="16" ht="21.75" customHeight="1" s="100">
      <c r="A16" s="76" t="n">
        <v>13</v>
      </c>
      <c r="B16" s="76" t="inlineStr">
        <is>
          <t>BRAIN 2026</t>
        </is>
      </c>
      <c r="C16" s="76" t="inlineStr">
        <is>
          <t>EM-035749</t>
        </is>
      </c>
      <c r="D16" s="76" t="inlineStr">
        <is>
          <t>2026</t>
        </is>
      </c>
      <c r="E16" s="76" t="inlineStr">
        <is>
          <t>Sociedade</t>
        </is>
      </c>
      <c r="F16" s="76" t="inlineStr">
        <is>
          <t>Cota de Patrocínio</t>
        </is>
      </c>
      <c r="G16" s="11" t="inlineStr">
        <is>
          <t>8002135902</t>
        </is>
      </c>
      <c r="H16" s="132" t="n">
        <v>18630</v>
      </c>
      <c r="I16" s="132" t="n">
        <v>0</v>
      </c>
      <c r="J16" s="132" t="n">
        <v>18630</v>
      </c>
      <c r="K16" s="132" t="n">
        <v>0</v>
      </c>
      <c r="L16" s="10" t="inlineStr">
        <is>
          <t>Pago</t>
        </is>
      </c>
      <c r="M16" s="10" t="inlineStr">
        <is>
          <t>Recebida</t>
        </is>
      </c>
      <c r="N16" s="76" t="inlineStr">
        <is>
          <t>10 inscrições Extras</t>
        </is>
      </c>
    </row>
    <row r="17" ht="21.75" customHeight="1" s="100">
      <c r="A17" s="77" t="n">
        <v>14</v>
      </c>
      <c r="B17" s="77" t="inlineStr">
        <is>
          <t>BRAIN 2026</t>
        </is>
      </c>
      <c r="C17" s="77" t="inlineStr">
        <is>
          <t>EM-035749</t>
        </is>
      </c>
      <c r="D17" s="77" t="inlineStr">
        <is>
          <t>2026</t>
        </is>
      </c>
      <c r="E17" s="77" t="inlineStr">
        <is>
          <t>Boutique Gourmet</t>
        </is>
      </c>
      <c r="F17" s="77" t="inlineStr">
        <is>
          <t>Buffet Stand</t>
        </is>
      </c>
      <c r="G17" s="14" t="inlineStr">
        <is>
          <t>8002135900</t>
        </is>
      </c>
      <c r="H17" s="133" t="n">
        <v>59655</v>
      </c>
      <c r="I17" s="133" t="n">
        <v>0</v>
      </c>
      <c r="J17" s="133" t="n">
        <v>59655</v>
      </c>
      <c r="K17" s="133" t="n">
        <v>0</v>
      </c>
      <c r="L17" s="25" t="inlineStr">
        <is>
          <t>Pós Evento</t>
        </is>
      </c>
      <c r="M17" s="10" t="inlineStr">
        <is>
          <t>Recebida</t>
        </is>
      </c>
      <c r="N17" s="77" t="n"/>
    </row>
    <row r="18" ht="21.75" customHeight="1" s="100">
      <c r="A18" s="76" t="n">
        <v>15</v>
      </c>
      <c r="B18" s="76" t="inlineStr">
        <is>
          <t>BRAIN 2026</t>
        </is>
      </c>
      <c r="C18" s="76" t="inlineStr">
        <is>
          <t>EM-035749</t>
        </is>
      </c>
      <c r="D18" s="76" t="inlineStr">
        <is>
          <t>2026</t>
        </is>
      </c>
      <c r="E18" s="76" t="inlineStr">
        <is>
          <t>Jardim Elétrico</t>
        </is>
      </c>
      <c r="F18" s="76" t="inlineStr">
        <is>
          <t>Stand</t>
        </is>
      </c>
      <c r="G18" s="11" t="inlineStr">
        <is>
          <t>8002135905</t>
        </is>
      </c>
      <c r="H18" s="132" t="n">
        <v>203718.42</v>
      </c>
      <c r="I18" s="132" t="n">
        <v>0</v>
      </c>
      <c r="J18" s="132" t="n">
        <v>203718.42</v>
      </c>
      <c r="K18" s="132" t="n">
        <v>0</v>
      </c>
      <c r="L18" s="25" t="inlineStr">
        <is>
          <t>Pós Evento</t>
        </is>
      </c>
      <c r="M18" s="10" t="inlineStr">
        <is>
          <t>Recebida</t>
        </is>
      </c>
      <c r="N18" s="76" t="n"/>
    </row>
    <row r="19" ht="21.75" customHeight="1" s="100">
      <c r="A19" s="77" t="n">
        <v>16</v>
      </c>
      <c r="B19" s="77" t="inlineStr">
        <is>
          <t>BRAIN 2026</t>
        </is>
      </c>
      <c r="C19" s="77" t="inlineStr">
        <is>
          <t>EM-035757</t>
        </is>
      </c>
      <c r="D19" s="77" t="inlineStr">
        <is>
          <t>2026</t>
        </is>
      </c>
      <c r="E19" s="77" t="inlineStr">
        <is>
          <t>Incentivare</t>
        </is>
      </c>
      <c r="F19" s="77" t="inlineStr">
        <is>
          <t>Logística Apoios</t>
        </is>
      </c>
      <c r="G19" s="14" t="inlineStr">
        <is>
          <t>8002093575</t>
        </is>
      </c>
      <c r="H19" s="133" t="n">
        <v>809857.67</v>
      </c>
      <c r="I19" s="133" t="n">
        <v>383277.03</v>
      </c>
      <c r="J19" s="133" t="n">
        <v>230271.41</v>
      </c>
      <c r="K19" s="133" t="n">
        <v>0</v>
      </c>
      <c r="L19" s="10" t="inlineStr">
        <is>
          <t>Pago</t>
        </is>
      </c>
      <c r="M19" s="14" t="inlineStr">
        <is>
          <t>Adiantamento</t>
        </is>
      </c>
      <c r="N19" s="77" t="inlineStr">
        <is>
          <t>Recibo 310 R$ 383.277,03 - FY2025
Recibo 321 R$ R$ 230.271,47 - FY2026</t>
        </is>
      </c>
    </row>
    <row r="20" ht="21.75" customHeight="1" s="100">
      <c r="A20" s="76" t="n">
        <v>17</v>
      </c>
      <c r="B20" s="76" t="inlineStr">
        <is>
          <t>BRAIN 2026</t>
        </is>
      </c>
      <c r="C20" s="76" t="inlineStr">
        <is>
          <t>EM-035757</t>
        </is>
      </c>
      <c r="D20" s="76" t="inlineStr">
        <is>
          <t>2026</t>
        </is>
      </c>
      <c r="E20" s="76" t="inlineStr">
        <is>
          <t>Incentivare</t>
        </is>
      </c>
      <c r="F20" s="76" t="inlineStr">
        <is>
          <t>Logística Apoios</t>
        </is>
      </c>
      <c r="G20" s="11" t="inlineStr">
        <is>
          <t>Pendente</t>
        </is>
      </c>
      <c r="H20" s="132" t="n">
        <v>280722.4</v>
      </c>
      <c r="I20" s="132" t="n">
        <v>0</v>
      </c>
      <c r="J20" s="132" t="n">
        <v>280722.4</v>
      </c>
      <c r="K20" s="132" t="n">
        <v>0</v>
      </c>
      <c r="L20" s="25" t="inlineStr">
        <is>
          <t>Pós Evento</t>
        </is>
      </c>
      <c r="M20" s="11" t="n"/>
      <c r="N20" s="76" t="n"/>
    </row>
    <row r="21" ht="21.75" customHeight="1" s="100">
      <c r="A21" s="77" t="n">
        <v>18</v>
      </c>
      <c r="B21" s="77" t="inlineStr">
        <is>
          <t>BRAIN 2026 - Simpósio</t>
        </is>
      </c>
      <c r="C21" s="77" t="inlineStr">
        <is>
          <t>EM-035749</t>
        </is>
      </c>
      <c r="D21" s="77" t="inlineStr">
        <is>
          <t>2026</t>
        </is>
      </c>
      <c r="E21" s="77" t="inlineStr">
        <is>
          <t>Sociedade</t>
        </is>
      </c>
      <c r="F21" s="77" t="inlineStr">
        <is>
          <t>Cota de Patrocínio Simpósio</t>
        </is>
      </c>
      <c r="G21" s="14" t="inlineStr">
        <is>
          <t>8002149144</t>
        </is>
      </c>
      <c r="H21" s="133" t="n">
        <v>114094</v>
      </c>
      <c r="I21" s="133" t="n">
        <v>0</v>
      </c>
      <c r="J21" s="133" t="n">
        <v>114094</v>
      </c>
      <c r="K21" s="133" t="n">
        <v>0</v>
      </c>
      <c r="L21" s="10" t="inlineStr">
        <is>
          <t>Pago</t>
        </is>
      </c>
      <c r="M21" s="10" t="inlineStr">
        <is>
          <t>Recebida</t>
        </is>
      </c>
      <c r="N21" s="77" t="n"/>
    </row>
    <row r="22" ht="21.75" customHeight="1" s="100">
      <c r="A22" s="76" t="n">
        <v>19</v>
      </c>
      <c r="B22" s="76" t="inlineStr">
        <is>
          <t>BRAIN 2026 - Simpósio</t>
        </is>
      </c>
      <c r="C22" s="76" t="inlineStr">
        <is>
          <t>EM-036325</t>
        </is>
      </c>
      <c r="D22" s="76" t="inlineStr">
        <is>
          <t>2026</t>
        </is>
      </c>
      <c r="E22" s="76" t="inlineStr">
        <is>
          <t>Incentivare</t>
        </is>
      </c>
      <c r="F22" s="76" t="inlineStr">
        <is>
          <t>Lunch Box</t>
        </is>
      </c>
      <c r="G22" s="11" t="inlineStr">
        <is>
          <t>8002144567</t>
        </is>
      </c>
      <c r="H22" s="132" t="n">
        <v>10939.5</v>
      </c>
      <c r="I22" s="132" t="n">
        <v>0</v>
      </c>
      <c r="J22" s="132" t="n">
        <v>14527.37</v>
      </c>
      <c r="K22" s="132" t="n">
        <v>0</v>
      </c>
      <c r="L22" s="16" t="inlineStr">
        <is>
          <t>aprovado</t>
        </is>
      </c>
      <c r="M22" s="10" t="inlineStr">
        <is>
          <t>Recebida</t>
        </is>
      </c>
      <c r="N22" s="76" t="inlineStr">
        <is>
          <t>Inclusão de transfer e passagem aérea para o Dr. Fernando Morgadinho (PO complementar R$ 3.587,87)</t>
        </is>
      </c>
    </row>
    <row r="23" ht="21.75" customHeight="1" s="100">
      <c r="A23" s="77" t="n">
        <v>20</v>
      </c>
      <c r="B23" s="77" t="inlineStr">
        <is>
          <t>BRAIN 2026 - Simpósio</t>
        </is>
      </c>
      <c r="C23" s="77" t="inlineStr">
        <is>
          <t>EM-036325</t>
        </is>
      </c>
      <c r="D23" s="77" t="inlineStr">
        <is>
          <t>2026</t>
        </is>
      </c>
      <c r="E23" s="77" t="inlineStr">
        <is>
          <t>Dr. Fernando</t>
        </is>
      </c>
      <c r="F23" s="77" t="inlineStr">
        <is>
          <t>Palestrante</t>
        </is>
      </c>
      <c r="G23" s="14" t="inlineStr">
        <is>
          <t>8002150422</t>
        </is>
      </c>
      <c r="H23" s="133" t="n">
        <v>8100</v>
      </c>
      <c r="I23" s="133" t="n">
        <v>0</v>
      </c>
      <c r="J23" s="133" t="n">
        <v>8100</v>
      </c>
      <c r="K23" s="133" t="n">
        <v>0</v>
      </c>
      <c r="L23" s="25" t="inlineStr">
        <is>
          <t>Pós Evento</t>
        </is>
      </c>
      <c r="M23" s="10" t="inlineStr">
        <is>
          <t>Recebida</t>
        </is>
      </c>
      <c r="N23" s="77" t="inlineStr">
        <is>
          <t>recebida em 11/06</t>
        </is>
      </c>
    </row>
    <row r="24" ht="21.75" customHeight="1" s="100">
      <c r="A24" s="76" t="n">
        <v>21</v>
      </c>
      <c r="B24" s="76" t="inlineStr">
        <is>
          <t>BRAIN 2026 - Simpósio</t>
        </is>
      </c>
      <c r="C24" s="76" t="inlineStr">
        <is>
          <t>EM-036325</t>
        </is>
      </c>
      <c r="D24" s="76" t="inlineStr">
        <is>
          <t>2026</t>
        </is>
      </c>
      <c r="E24" s="76" t="inlineStr">
        <is>
          <t>Dra. Dalva</t>
        </is>
      </c>
      <c r="F24" s="76" t="inlineStr">
        <is>
          <t>Palestrante</t>
        </is>
      </c>
      <c r="G24" s="11" t="inlineStr">
        <is>
          <t>8002150424</t>
        </is>
      </c>
      <c r="H24" s="132" t="n">
        <v>8100</v>
      </c>
      <c r="I24" s="132" t="n">
        <v>0</v>
      </c>
      <c r="J24" s="132" t="n">
        <v>8100</v>
      </c>
      <c r="K24" s="132" t="n">
        <v>0</v>
      </c>
      <c r="L24" s="25" t="inlineStr">
        <is>
          <t>Pós Evento</t>
        </is>
      </c>
      <c r="M24" s="11" t="n"/>
      <c r="N24" s="76" t="n"/>
    </row>
    <row r="25" ht="21.75" customHeight="1" s="100">
      <c r="A25" s="77" t="n">
        <v>22</v>
      </c>
      <c r="B25" s="77" t="inlineStr">
        <is>
          <t>CONASENS</t>
        </is>
      </c>
      <c r="C25" s="77" t="n"/>
      <c r="D25" s="77" t="n"/>
      <c r="E25" s="77" t="n"/>
      <c r="F25" s="77" t="inlineStr">
        <is>
          <t>Cota de Patrocínio</t>
        </is>
      </c>
      <c r="G25" s="14" t="n"/>
      <c r="H25" s="133" t="n">
        <v>130000</v>
      </c>
      <c r="I25" s="133" t="n">
        <v>0</v>
      </c>
      <c r="J25" s="133" t="n">
        <v>130000</v>
      </c>
      <c r="K25" s="133" t="n">
        <v>0</v>
      </c>
      <c r="L25" s="14" t="n"/>
      <c r="M25" s="14" t="n"/>
      <c r="N25" s="77" t="inlineStr">
        <is>
          <t>contrato e cota providenciados pelo time</t>
        </is>
      </c>
    </row>
    <row r="26" ht="21.75" customHeight="1" s="100">
      <c r="A26" s="76" t="n">
        <v>23</v>
      </c>
      <c r="B26" s="76" t="inlineStr">
        <is>
          <t>CONASENS</t>
        </is>
      </c>
      <c r="C26" s="76" t="n"/>
      <c r="D26" s="76" t="n"/>
      <c r="E26" s="76" t="n"/>
      <c r="F26" s="76" t="inlineStr">
        <is>
          <t>Buffet Stand</t>
        </is>
      </c>
      <c r="G26" s="11" t="n"/>
      <c r="H26" s="132" t="n">
        <v>19286</v>
      </c>
      <c r="I26" s="132" t="n">
        <v>0</v>
      </c>
      <c r="J26" s="132" t="n">
        <v>0</v>
      </c>
      <c r="K26" s="132" t="n">
        <v>0</v>
      </c>
      <c r="L26" s="11" t="n"/>
      <c r="M26" s="11" t="n"/>
      <c r="N26" s="76" t="n"/>
    </row>
    <row r="27" ht="21.75" customHeight="1" s="100">
      <c r="A27" s="77" t="n">
        <v>24</v>
      </c>
      <c r="B27" s="77" t="inlineStr">
        <is>
          <t>CONASENS</t>
        </is>
      </c>
      <c r="C27" s="77" t="n"/>
      <c r="D27" s="77" t="n"/>
      <c r="E27" s="77" t="n"/>
      <c r="F27" s="77" t="inlineStr">
        <is>
          <t>Stand Montagem</t>
        </is>
      </c>
      <c r="G27" s="14" t="n"/>
      <c r="H27" s="133" t="n">
        <v>0</v>
      </c>
      <c r="I27" s="133" t="n">
        <v>0</v>
      </c>
      <c r="J27" s="133" t="n">
        <v>0</v>
      </c>
      <c r="K27" s="133" t="n">
        <v>0</v>
      </c>
      <c r="L27" s="14" t="n"/>
      <c r="M27" s="14" t="n"/>
      <c r="N27" s="77" t="n"/>
    </row>
    <row r="28" ht="21.75" customHeight="1" s="100">
      <c r="A28" s="76" t="n">
        <v>25</v>
      </c>
      <c r="B28" s="76" t="inlineStr">
        <is>
          <t>CONASENS - TOME</t>
        </is>
      </c>
      <c r="C28" s="76" t="n"/>
      <c r="D28" s="76" t="n"/>
      <c r="E28" s="76" t="n"/>
      <c r="F28" s="76" t="inlineStr">
        <is>
          <t>Agência</t>
        </is>
      </c>
      <c r="G28" s="11" t="n"/>
      <c r="H28" s="132" t="n">
        <v>0</v>
      </c>
      <c r="I28" s="132" t="n">
        <v>0</v>
      </c>
      <c r="J28" s="132" t="n">
        <v>0</v>
      </c>
      <c r="K28" s="132" t="n">
        <v>0</v>
      </c>
      <c r="L28" s="11" t="n"/>
      <c r="M28" s="11" t="n"/>
      <c r="N28" s="76" t="n"/>
    </row>
    <row r="29" ht="21.75" customHeight="1" s="100">
      <c r="A29" s="77" t="n">
        <v>26</v>
      </c>
      <c r="B29" s="77" t="inlineStr">
        <is>
          <t>APRENDER CRIANÇA</t>
        </is>
      </c>
      <c r="C29" s="77" t="inlineStr">
        <is>
          <t>EM-035706</t>
        </is>
      </c>
      <c r="D29" s="77" t="inlineStr">
        <is>
          <t>2026</t>
        </is>
      </c>
      <c r="E29" s="77" t="inlineStr">
        <is>
          <t>Sociedade</t>
        </is>
      </c>
      <c r="F29" s="77" t="inlineStr">
        <is>
          <t>Cota de Patrocínio</t>
        </is>
      </c>
      <c r="G29" s="14" t="inlineStr">
        <is>
          <t>25000417</t>
        </is>
      </c>
      <c r="H29" s="133" t="n">
        <v>68000</v>
      </c>
      <c r="I29" s="133" t="n">
        <v>0</v>
      </c>
      <c r="J29" s="133" t="n">
        <v>68000</v>
      </c>
      <c r="K29" s="133" t="n">
        <v>0</v>
      </c>
      <c r="L29" s="10" t="inlineStr">
        <is>
          <t>Pago</t>
        </is>
      </c>
      <c r="M29" s="10" t="inlineStr">
        <is>
          <t>Recebida</t>
        </is>
      </c>
      <c r="N29" s="77" t="n"/>
    </row>
    <row r="30" ht="21.75" customHeight="1" s="100">
      <c r="A30" s="76" t="n">
        <v>27</v>
      </c>
      <c r="B30" s="76" t="inlineStr">
        <is>
          <t>APRENDER CRIANÇA</t>
        </is>
      </c>
      <c r="C30" s="76" t="inlineStr">
        <is>
          <t>EM-036170</t>
        </is>
      </c>
      <c r="D30" s="76" t="inlineStr">
        <is>
          <t>2026</t>
        </is>
      </c>
      <c r="E30" s="76" t="inlineStr">
        <is>
          <t>Boutique Gourmet</t>
        </is>
      </c>
      <c r="F30" s="76" t="inlineStr">
        <is>
          <t>Lunch Box</t>
        </is>
      </c>
      <c r="G30" s="11" t="inlineStr">
        <is>
          <t>8002154353</t>
        </is>
      </c>
      <c r="H30" s="132" t="n">
        <v>32000</v>
      </c>
      <c r="I30" s="132" t="n">
        <v>0</v>
      </c>
      <c r="J30" s="132" t="n">
        <v>0</v>
      </c>
      <c r="K30" s="132" t="n">
        <v>0</v>
      </c>
      <c r="L30" s="25" t="inlineStr">
        <is>
          <t>Pós Evento</t>
        </is>
      </c>
      <c r="M30" s="11" t="n"/>
      <c r="N30" s="76" t="n"/>
    </row>
    <row r="31" ht="21.75" customHeight="1" s="100">
      <c r="A31" s="77" t="n">
        <v>28</v>
      </c>
      <c r="B31" s="77" t="inlineStr">
        <is>
          <t>Masterclass</t>
        </is>
      </c>
      <c r="C31" s="77" t="inlineStr">
        <is>
          <t>PENDENTE</t>
        </is>
      </c>
      <c r="D31" s="77" t="inlineStr">
        <is>
          <t>2026</t>
        </is>
      </c>
      <c r="E31" s="77" t="inlineStr">
        <is>
          <t>Sociedade</t>
        </is>
      </c>
      <c r="F31" s="77" t="inlineStr">
        <is>
          <t>Cota de Patrocínio</t>
        </is>
      </c>
      <c r="G31" s="14" t="inlineStr">
        <is>
          <t>Pendente</t>
        </is>
      </c>
      <c r="H31" s="133" t="n">
        <v>240000</v>
      </c>
      <c r="I31" s="133" t="n">
        <v>0</v>
      </c>
      <c r="J31" s="133" t="n">
        <v>0</v>
      </c>
      <c r="K31" s="133" t="n">
        <v>0</v>
      </c>
      <c r="L31" s="21" t="inlineStr">
        <is>
          <t>Pendente</t>
        </is>
      </c>
      <c r="M31" s="14" t="n"/>
      <c r="N31" s="77" t="n"/>
    </row>
    <row r="32" ht="21.75" customHeight="1" s="100">
      <c r="A32" s="76" t="n">
        <v>29</v>
      </c>
      <c r="B32" s="76" t="inlineStr">
        <is>
          <t>ABENEPI - VIII Congresso Internacional &amp; XXVIII Brasileiro da ABENEPI</t>
        </is>
      </c>
      <c r="C32" s="76" t="inlineStr">
        <is>
          <t>EM-035724</t>
        </is>
      </c>
      <c r="D32" s="76" t="inlineStr">
        <is>
          <t>2026</t>
        </is>
      </c>
      <c r="E32" s="76" t="inlineStr">
        <is>
          <t>Sociedade</t>
        </is>
      </c>
      <c r="F32" s="76" t="inlineStr">
        <is>
          <t>Cota de Patrocínio</t>
        </is>
      </c>
      <c r="G32" s="11" t="inlineStr">
        <is>
          <t>25000404</t>
        </is>
      </c>
      <c r="H32" s="132" t="n">
        <v>49000</v>
      </c>
      <c r="I32" s="132" t="n">
        <v>0</v>
      </c>
      <c r="J32" s="132" t="n">
        <v>49000</v>
      </c>
      <c r="K32" s="132" t="n">
        <v>0</v>
      </c>
      <c r="L32" s="10" t="inlineStr">
        <is>
          <t>Pago</t>
        </is>
      </c>
      <c r="M32" s="10" t="inlineStr">
        <is>
          <t>Recebida</t>
        </is>
      </c>
      <c r="N32" s="76" t="inlineStr">
        <is>
          <t>Recibo recebido em 23/04</t>
        </is>
      </c>
    </row>
    <row r="33" ht="21.95" customHeight="1" s="100">
      <c r="A33" s="54" t="inlineStr">
        <is>
          <t>TOTAIS GERAIS</t>
        </is>
      </c>
      <c r="H33" s="134" t="n">
        <v>3232995.04</v>
      </c>
      <c r="I33" s="134" t="n">
        <v>1148676.29</v>
      </c>
      <c r="J33" s="134" t="n">
        <v>1553060.46</v>
      </c>
      <c r="K33" s="134" t="n">
        <v>2701736.75</v>
      </c>
    </row>
  </sheetData>
  <mergeCells count="3">
    <mergeCell ref="A33:G33"/>
    <mergeCell ref="A2:N2"/>
    <mergeCell ref="A1:N1"/>
  </mergeCells>
  <conditionalFormatting sqref="A4:N32">
    <cfRule type="expression" priority="1" dxfId="3">
      <formula>$L4="Pendente"</formula>
    </cfRule>
    <cfRule type="expression" priority="2" dxfId="1">
      <formula>$L4="A preencher"</formula>
    </cfRule>
    <cfRule type="expression" priority="3" dxfId="1">
      <formula>$G4="Pendente"</formula>
    </cfRule>
    <cfRule type="expression" priority="4" dxfId="0">
      <formula>OR($L4="Pago",$L4="pago")</formula>
    </cfRule>
  </conditionalFormatting>
  <dataValidations count="3">
    <dataValidation sqref="L4:L32 M8" showDropDown="0" showInputMessage="1" showErrorMessage="1" allowBlank="0" promptTitle="Status Pagamento" type="list">
      <formula1>"Pago,pago,aprovado,Pós Evento,Pendente,A preencher,Cancelado"</formula1>
    </dataValidation>
    <dataValidation sqref="M4:M7 M9:M32" showDropDown="0" showInputMessage="1" showErrorMessage="1" allowBlank="0" promptTitle="Status NF/ND/Recibo" type="list">
      <formula1>"Recebida,Recebido,Adiantamento,Pendente,A preencher"</formula1>
    </dataValidation>
    <dataValidation sqref="F4:F32" showDropDown="0" showInputMessage="1" showErrorMessage="1" allowBlank="0" promptTitle="Tipo de Custo" type="list">
      <formula1>"Cota de Patrocínio,Logística Convidados,Produção,Stand,Buffet Stand,Lunch Box,Palestrante,FEE Palestrante,Agência,Outros"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1F6B75"/>
    <outlinePr summaryBelow="1" summaryRight="1"/>
    <pageSetUpPr/>
  </sheetPr>
  <dimension ref="A1:J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H35" sqref="H35"/>
    </sheetView>
  </sheetViews>
  <sheetFormatPr baseColWidth="8" defaultRowHeight="15"/>
  <cols>
    <col width="5" customWidth="1" style="100" min="1" max="1"/>
    <col width="28" customWidth="1" style="100" min="2" max="2"/>
    <col width="22" customWidth="1" style="100" min="3" max="3"/>
    <col width="30" customWidth="1" style="100" min="4" max="4"/>
    <col width="8" customWidth="1" style="100" min="5" max="5"/>
    <col width="16" customWidth="1" style="100" min="6" max="6"/>
    <col width="18" customWidth="1" style="100" min="7" max="7"/>
    <col width="22" customWidth="1" style="100" min="8" max="8"/>
    <col width="30" customWidth="1" style="100" min="9" max="9"/>
    <col width="40" customWidth="1" style="100" min="10" max="10"/>
  </cols>
  <sheetData>
    <row r="1" ht="27.95" customHeight="1" s="100">
      <c r="A1" s="57" t="inlineStr">
        <is>
          <t>🏢 BANCO DE DADOS DE FORNECEDORES</t>
        </is>
      </c>
    </row>
    <row r="2" ht="15.95" customHeight="1" s="100">
      <c r="A2" s="58" t="inlineStr">
        <is>
          <t>Cadastro único · Atualizar CNPJ antes de criar PO · Homologados = verde · A verificar = amarelo</t>
        </is>
      </c>
    </row>
    <row r="3" ht="32.1" customHeight="1" s="100">
      <c r="A3" s="26" t="inlineStr">
        <is>
          <t>ID</t>
        </is>
      </c>
      <c r="B3" s="26" t="inlineStr">
        <is>
          <t>Fornecedor</t>
        </is>
      </c>
      <c r="C3" s="26" t="inlineStr">
        <is>
          <t>Categoria</t>
        </is>
      </c>
      <c r="D3" s="26" t="inlineStr">
        <is>
          <t>Serviços</t>
        </is>
      </c>
      <c r="E3" s="26" t="inlineStr">
        <is>
          <t>UF Sede</t>
        </is>
      </c>
      <c r="F3" s="26" t="inlineStr">
        <is>
          <t>Status Homol.</t>
        </is>
      </c>
      <c r="G3" s="26" t="inlineStr">
        <is>
          <t>CNPJ</t>
        </is>
      </c>
      <c r="H3" s="26" t="inlineStr">
        <is>
          <t>Contato</t>
        </is>
      </c>
      <c r="I3" s="26" t="inlineStr">
        <is>
          <t>E-mail</t>
        </is>
      </c>
      <c r="J3" s="26" t="inlineStr">
        <is>
          <t>Observações</t>
        </is>
      </c>
    </row>
    <row r="4">
      <c r="A4" s="76" t="n">
        <v>1</v>
      </c>
      <c r="B4" s="76" t="inlineStr">
        <is>
          <t>Casa da Vila</t>
        </is>
      </c>
      <c r="C4" s="76" t="inlineStr">
        <is>
          <t>Agência de Produção</t>
        </is>
      </c>
      <c r="D4" s="76" t="inlineStr">
        <is>
          <t>Produção de Eventos</t>
        </is>
      </c>
      <c r="E4" s="76" t="inlineStr">
        <is>
          <t>SP</t>
        </is>
      </c>
      <c r="F4" s="10" t="inlineStr">
        <is>
          <t>Homologado</t>
        </is>
      </c>
      <c r="G4" s="76" t="inlineStr">
        <is>
          <t>A preencher</t>
        </is>
      </c>
      <c r="H4" s="76" t="inlineStr">
        <is>
          <t>A preencher</t>
        </is>
      </c>
      <c r="I4" s="76" t="inlineStr">
        <is>
          <t>A preencher</t>
        </is>
      </c>
      <c r="J4" s="76" t="n"/>
    </row>
    <row r="5">
      <c r="A5" s="77" t="n">
        <v>2</v>
      </c>
      <c r="B5" s="77" t="inlineStr">
        <is>
          <t>Incentivare</t>
        </is>
      </c>
      <c r="C5" s="77" t="inlineStr">
        <is>
          <t>Agência Logística</t>
        </is>
      </c>
      <c r="D5" s="77" t="inlineStr">
        <is>
          <t>Logística, Buffet, Apoios</t>
        </is>
      </c>
      <c r="E5" s="77" t="inlineStr">
        <is>
          <t>SP</t>
        </is>
      </c>
      <c r="F5" s="10" t="inlineStr">
        <is>
          <t>Homologado</t>
        </is>
      </c>
      <c r="G5" s="77" t="inlineStr">
        <is>
          <t>A preencher</t>
        </is>
      </c>
      <c r="H5" s="77" t="inlineStr">
        <is>
          <t>A preencher</t>
        </is>
      </c>
      <c r="I5" s="77" t="inlineStr">
        <is>
          <t>A preencher</t>
        </is>
      </c>
      <c r="J5" s="77" t="n"/>
    </row>
    <row r="6">
      <c r="A6" s="76" t="n">
        <v>3</v>
      </c>
      <c r="B6" s="76" t="inlineStr">
        <is>
          <t>OPUS</t>
        </is>
      </c>
      <c r="C6" s="76" t="inlineStr">
        <is>
          <t>Agência Logística</t>
        </is>
      </c>
      <c r="D6" s="76" t="inlineStr">
        <is>
          <t>Logística Convidados</t>
        </is>
      </c>
      <c r="E6" s="76" t="inlineStr">
        <is>
          <t>SP</t>
        </is>
      </c>
      <c r="F6" s="10" t="inlineStr">
        <is>
          <t>Homologado</t>
        </is>
      </c>
      <c r="G6" s="76" t="inlineStr">
        <is>
          <t>A preencher</t>
        </is>
      </c>
      <c r="H6" s="76" t="inlineStr">
        <is>
          <t>A preencher</t>
        </is>
      </c>
      <c r="I6" s="76" t="inlineStr">
        <is>
          <t>A preencher</t>
        </is>
      </c>
      <c r="J6" s="76" t="n"/>
    </row>
    <row r="7">
      <c r="A7" s="77" t="n">
        <v>4</v>
      </c>
      <c r="B7" s="77" t="inlineStr">
        <is>
          <t>Opus</t>
        </is>
      </c>
      <c r="C7" s="77" t="inlineStr">
        <is>
          <t>Agência Logística</t>
        </is>
      </c>
      <c r="D7" s="77" t="inlineStr">
        <is>
          <t>Logística Convidados</t>
        </is>
      </c>
      <c r="E7" s="77" t="inlineStr">
        <is>
          <t>SP</t>
        </is>
      </c>
      <c r="F7" s="10" t="inlineStr">
        <is>
          <t>Homologado</t>
        </is>
      </c>
      <c r="G7" s="77" t="inlineStr">
        <is>
          <t>A preencher</t>
        </is>
      </c>
      <c r="H7" s="77" t="inlineStr">
        <is>
          <t>A preencher</t>
        </is>
      </c>
      <c r="I7" s="77" t="inlineStr">
        <is>
          <t>A preencher</t>
        </is>
      </c>
      <c r="J7" s="77" t="n"/>
    </row>
    <row r="8">
      <c r="A8" s="76" t="n">
        <v>5</v>
      </c>
      <c r="B8" s="76" t="inlineStr">
        <is>
          <t>Jardim Elétrico</t>
        </is>
      </c>
      <c r="C8" s="76" t="inlineStr">
        <is>
          <t>Montadora de Stand</t>
        </is>
      </c>
      <c r="D8" s="76" t="inlineStr">
        <is>
          <t>Montagem de Stands</t>
        </is>
      </c>
      <c r="E8" s="76" t="inlineStr">
        <is>
          <t>SP</t>
        </is>
      </c>
      <c r="F8" s="10" t="inlineStr">
        <is>
          <t>Homologado</t>
        </is>
      </c>
      <c r="G8" s="76" t="inlineStr">
        <is>
          <t>A preencher</t>
        </is>
      </c>
      <c r="H8" s="76" t="inlineStr">
        <is>
          <t>A preencher</t>
        </is>
      </c>
      <c r="I8" s="76" t="inlineStr">
        <is>
          <t>A preencher</t>
        </is>
      </c>
      <c r="J8" s="76" t="n"/>
    </row>
    <row r="9">
      <c r="A9" s="77" t="n">
        <v>6</v>
      </c>
      <c r="B9" s="77" t="inlineStr">
        <is>
          <t>Jardim</t>
        </is>
      </c>
      <c r="C9" s="77" t="inlineStr">
        <is>
          <t>Montadora de Stand</t>
        </is>
      </c>
      <c r="D9" s="77" t="inlineStr">
        <is>
          <t>Montagem de Stands</t>
        </is>
      </c>
      <c r="E9" s="77" t="inlineStr">
        <is>
          <t>SP</t>
        </is>
      </c>
      <c r="F9" s="14" t="inlineStr">
        <is>
          <t>A verificar</t>
        </is>
      </c>
      <c r="G9" s="77" t="inlineStr">
        <is>
          <t>A preencher</t>
        </is>
      </c>
      <c r="H9" s="77" t="inlineStr">
        <is>
          <t>A preencher</t>
        </is>
      </c>
      <c r="I9" s="77" t="inlineStr">
        <is>
          <t>A preencher</t>
        </is>
      </c>
      <c r="J9" s="77" t="n"/>
    </row>
    <row r="10">
      <c r="A10" s="76" t="n">
        <v>7</v>
      </c>
      <c r="B10" s="76" t="inlineStr">
        <is>
          <t>Poli Design</t>
        </is>
      </c>
      <c r="C10" s="76" t="inlineStr">
        <is>
          <t>Montadora de Stand</t>
        </is>
      </c>
      <c r="D10" s="76" t="inlineStr">
        <is>
          <t>Montagem de Stands</t>
        </is>
      </c>
      <c r="E10" s="76" t="inlineStr">
        <is>
          <t>SP</t>
        </is>
      </c>
      <c r="F10" s="10" t="inlineStr">
        <is>
          <t>Homologado</t>
        </is>
      </c>
      <c r="G10" s="76" t="inlineStr">
        <is>
          <t>A preencher</t>
        </is>
      </c>
      <c r="H10" s="76" t="inlineStr">
        <is>
          <t>A preencher</t>
        </is>
      </c>
      <c r="I10" s="76" t="inlineStr">
        <is>
          <t>A preencher</t>
        </is>
      </c>
      <c r="J10" s="76" t="n"/>
    </row>
    <row r="11">
      <c r="A11" s="77" t="n">
        <v>8</v>
      </c>
      <c r="B11" s="77" t="inlineStr">
        <is>
          <t>Poli</t>
        </is>
      </c>
      <c r="C11" s="77" t="inlineStr">
        <is>
          <t>Montadora de Stand</t>
        </is>
      </c>
      <c r="D11" s="77" t="inlineStr">
        <is>
          <t>Montagem de Stands</t>
        </is>
      </c>
      <c r="E11" s="77" t="inlineStr">
        <is>
          <t>SP</t>
        </is>
      </c>
      <c r="F11" s="14" t="inlineStr">
        <is>
          <t>A verificar</t>
        </is>
      </c>
      <c r="G11" s="77" t="inlineStr">
        <is>
          <t>A preencher</t>
        </is>
      </c>
      <c r="H11" s="77" t="inlineStr">
        <is>
          <t>A preencher</t>
        </is>
      </c>
      <c r="I11" s="77" t="inlineStr">
        <is>
          <t>A preencher</t>
        </is>
      </c>
      <c r="J11" s="77" t="n"/>
    </row>
    <row r="12">
      <c r="A12" s="76" t="n">
        <v>9</v>
      </c>
      <c r="B12" s="76" t="inlineStr">
        <is>
          <t>Boutique Gourmet</t>
        </is>
      </c>
      <c r="C12" s="76" t="inlineStr">
        <is>
          <t>Buffet/Alimentação</t>
        </is>
      </c>
      <c r="D12" s="76" t="inlineStr">
        <is>
          <t>Buffet, Lunch Box</t>
        </is>
      </c>
      <c r="E12" s="76" t="inlineStr">
        <is>
          <t>SP</t>
        </is>
      </c>
      <c r="F12" s="10" t="inlineStr">
        <is>
          <t>Homologado</t>
        </is>
      </c>
      <c r="G12" s="76" t="inlineStr">
        <is>
          <t>A preencher</t>
        </is>
      </c>
      <c r="H12" s="76" t="inlineStr">
        <is>
          <t>A preencher</t>
        </is>
      </c>
      <c r="I12" s="76" t="inlineStr">
        <is>
          <t>A preencher</t>
        </is>
      </c>
      <c r="J12" s="76" t="n"/>
    </row>
    <row r="13">
      <c r="A13" s="77" t="n">
        <v>10</v>
      </c>
      <c r="B13" s="77" t="inlineStr">
        <is>
          <t>Boutique</t>
        </is>
      </c>
      <c r="C13" s="77" t="inlineStr">
        <is>
          <t>Buffet/Alimentação</t>
        </is>
      </c>
      <c r="D13" s="77" t="inlineStr">
        <is>
          <t>Buffet</t>
        </is>
      </c>
      <c r="E13" s="77" t="inlineStr">
        <is>
          <t>SP</t>
        </is>
      </c>
      <c r="F13" s="14" t="inlineStr">
        <is>
          <t>A verificar</t>
        </is>
      </c>
      <c r="G13" s="77" t="inlineStr">
        <is>
          <t>A preencher</t>
        </is>
      </c>
      <c r="H13" s="77" t="inlineStr">
        <is>
          <t>A preencher</t>
        </is>
      </c>
      <c r="I13" s="77" t="inlineStr">
        <is>
          <t>A preencher</t>
        </is>
      </c>
      <c r="J13" s="77" t="n"/>
    </row>
    <row r="14">
      <c r="A14" s="76" t="n">
        <v>11</v>
      </c>
      <c r="B14" s="76" t="inlineStr">
        <is>
          <t>APM</t>
        </is>
      </c>
      <c r="C14" s="76" t="inlineStr">
        <is>
          <t>Sociedade Médica</t>
        </is>
      </c>
      <c r="D14" s="76" t="inlineStr">
        <is>
          <t>Cota de Patrocínio</t>
        </is>
      </c>
      <c r="E14" s="76" t="inlineStr">
        <is>
          <t>SP</t>
        </is>
      </c>
      <c r="F14" s="11" t="inlineStr">
        <is>
          <t>Contrato</t>
        </is>
      </c>
      <c r="G14" s="76" t="inlineStr">
        <is>
          <t>A preencher</t>
        </is>
      </c>
      <c r="H14" s="76" t="inlineStr">
        <is>
          <t>A preencher</t>
        </is>
      </c>
      <c r="I14" s="76" t="inlineStr">
        <is>
          <t>A preencher</t>
        </is>
      </c>
      <c r="J14" s="76" t="n"/>
    </row>
    <row r="15">
      <c r="A15" s="77" t="n">
        <v>12</v>
      </c>
      <c r="B15" s="77" t="inlineStr">
        <is>
          <t>Sociedade</t>
        </is>
      </c>
      <c r="C15" s="77" t="inlineStr">
        <is>
          <t>Sociedade Médica</t>
        </is>
      </c>
      <c r="D15" s="77" t="inlineStr">
        <is>
          <t>Cota de Patrocínio</t>
        </is>
      </c>
      <c r="E15" s="77" t="inlineStr">
        <is>
          <t>Vários</t>
        </is>
      </c>
      <c r="F15" s="14" t="inlineStr">
        <is>
          <t>Contrato</t>
        </is>
      </c>
      <c r="G15" s="77" t="inlineStr">
        <is>
          <t>A preencher</t>
        </is>
      </c>
      <c r="H15" s="77" t="inlineStr">
        <is>
          <t>A preencher</t>
        </is>
      </c>
      <c r="I15" s="77" t="inlineStr">
        <is>
          <t>A preencher</t>
        </is>
      </c>
      <c r="J15" s="77" t="n"/>
    </row>
    <row r="16">
      <c r="A16" s="76" t="n">
        <v>13</v>
      </c>
      <c r="B16" s="76" t="inlineStr">
        <is>
          <t>Dr. Fernando</t>
        </is>
      </c>
      <c r="C16" s="76" t="inlineStr">
        <is>
          <t>Palestrante</t>
        </is>
      </c>
      <c r="D16" s="76" t="inlineStr">
        <is>
          <t>Honorários Palestrante</t>
        </is>
      </c>
      <c r="E16" s="76" t="inlineStr">
        <is>
          <t>SP</t>
        </is>
      </c>
      <c r="F16" s="11" t="inlineStr">
        <is>
          <t>Contrato</t>
        </is>
      </c>
      <c r="G16" s="76" t="inlineStr">
        <is>
          <t>A preencher</t>
        </is>
      </c>
      <c r="H16" s="76" t="inlineStr">
        <is>
          <t>A preencher</t>
        </is>
      </c>
      <c r="I16" s="76" t="inlineStr">
        <is>
          <t>A preencher</t>
        </is>
      </c>
      <c r="J16" s="76" t="n"/>
    </row>
    <row r="17">
      <c r="A17" s="77" t="n">
        <v>14</v>
      </c>
      <c r="B17" s="77" t="inlineStr">
        <is>
          <t>Dra. Dalva</t>
        </is>
      </c>
      <c r="C17" s="77" t="inlineStr">
        <is>
          <t>Palestrante</t>
        </is>
      </c>
      <c r="D17" s="77" t="inlineStr">
        <is>
          <t>Honorários Palestrante</t>
        </is>
      </c>
      <c r="E17" s="77" t="inlineStr">
        <is>
          <t>SP</t>
        </is>
      </c>
      <c r="F17" s="14" t="inlineStr">
        <is>
          <t>Contrato</t>
        </is>
      </c>
      <c r="G17" s="77" t="inlineStr">
        <is>
          <t>A preencher</t>
        </is>
      </c>
      <c r="H17" s="77" t="inlineStr">
        <is>
          <t>A preencher</t>
        </is>
      </c>
      <c r="I17" s="77" t="inlineStr">
        <is>
          <t>A preencher</t>
        </is>
      </c>
      <c r="J17" s="77" t="n"/>
    </row>
    <row r="18">
      <c r="A18" s="76" t="n">
        <v>15</v>
      </c>
      <c r="B18" s="76" t="inlineStr">
        <is>
          <t>FEE Palestrante</t>
        </is>
      </c>
      <c r="C18" s="76" t="inlineStr">
        <is>
          <t>Palestrante</t>
        </is>
      </c>
      <c r="D18" s="76" t="inlineStr">
        <is>
          <t>Honorários Palestrante</t>
        </is>
      </c>
      <c r="E18" s="76" t="inlineStr">
        <is>
          <t>Vários</t>
        </is>
      </c>
      <c r="F18" s="11" t="inlineStr">
        <is>
          <t>A verificar</t>
        </is>
      </c>
      <c r="G18" s="76" t="inlineStr">
        <is>
          <t>A preencher</t>
        </is>
      </c>
      <c r="H18" s="76" t="inlineStr">
        <is>
          <t>A preencher</t>
        </is>
      </c>
      <c r="I18" s="76" t="inlineStr">
        <is>
          <t>A preencher</t>
        </is>
      </c>
      <c r="J18" s="76" t="n"/>
    </row>
    <row r="19">
      <c r="A19" s="77" t="n">
        <v>16</v>
      </c>
      <c r="B19" s="77" t="inlineStr">
        <is>
          <t>Oficial</t>
        </is>
      </c>
      <c r="C19" s="77" t="inlineStr">
        <is>
          <t>Montadora Oficial</t>
        </is>
      </c>
      <c r="D19" s="77" t="inlineStr">
        <is>
          <t>Montagem Oficial do Evento</t>
        </is>
      </c>
      <c r="E19" s="77" t="inlineStr">
        <is>
          <t>Vários</t>
        </is>
      </c>
      <c r="F19" s="14" t="inlineStr">
        <is>
          <t>Oficial evento</t>
        </is>
      </c>
      <c r="G19" s="77" t="inlineStr">
        <is>
          <t>A preencher</t>
        </is>
      </c>
      <c r="H19" s="77" t="inlineStr">
        <is>
          <t>A preencher</t>
        </is>
      </c>
      <c r="I19" s="77" t="inlineStr">
        <is>
          <t>A preencher</t>
        </is>
      </c>
      <c r="J19" s="77" t="n"/>
    </row>
    <row r="20">
      <c r="A20" s="76" t="n">
        <v>17</v>
      </c>
      <c r="B20" s="76" t="inlineStr">
        <is>
          <t>Homologado local</t>
        </is>
      </c>
      <c r="C20" s="76" t="inlineStr">
        <is>
          <t>Buffet Local</t>
        </is>
      </c>
      <c r="D20" s="76" t="inlineStr">
        <is>
          <t>Buffet homologado pelo local</t>
        </is>
      </c>
      <c r="E20" s="76" t="inlineStr">
        <is>
          <t>Vários</t>
        </is>
      </c>
      <c r="F20" s="10" t="inlineStr">
        <is>
          <t>Homologado</t>
        </is>
      </c>
      <c r="G20" s="76" t="inlineStr">
        <is>
          <t>A preencher</t>
        </is>
      </c>
      <c r="H20" s="76" t="inlineStr">
        <is>
          <t>A preencher</t>
        </is>
      </c>
      <c r="I20" s="76" t="inlineStr">
        <is>
          <t>A preencher</t>
        </is>
      </c>
      <c r="J20" s="76" t="n"/>
    </row>
  </sheetData>
  <mergeCells count="2">
    <mergeCell ref="A1:J1"/>
    <mergeCell ref="A2:J2"/>
  </mergeCells>
  <dataValidations count="1">
    <dataValidation sqref="F4:F20" showDropDown="0" showInputMessage="1" showErrorMessage="1" allowBlank="0" promptTitle="Status Homologação" type="list">
      <formula1>"Homologado,A verificar,Contrato,Oficial evento,A preencher,Suspenso"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L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C6" sqref="C6"/>
    </sheetView>
  </sheetViews>
  <sheetFormatPr baseColWidth="8" defaultRowHeight="15"/>
  <cols>
    <col width="5" customWidth="1" style="100" min="1" max="1"/>
    <col width="30" customWidth="1" style="100" min="2" max="2"/>
    <col width="28" customWidth="1" style="100" min="3" max="3"/>
    <col width="16" customWidth="1" style="100" min="4" max="4"/>
    <col width="22" customWidth="1" style="100" min="5" max="5"/>
    <col width="9.140625" bestFit="1" customWidth="1" style="100" min="6" max="6"/>
    <col width="7.5703125" bestFit="1" customWidth="1" style="100" min="7" max="7"/>
    <col width="22" customWidth="1" style="100" min="8" max="8"/>
    <col width="16" customWidth="1" style="100" min="9" max="9"/>
    <col width="12" customWidth="1" style="100" min="10" max="10"/>
    <col width="14" customWidth="1" style="100" min="11" max="11"/>
    <col width="38" customWidth="1" style="100" min="12" max="12"/>
  </cols>
  <sheetData>
    <row r="1" ht="27.95" customHeight="1" s="100">
      <c r="A1" s="60" t="inlineStr">
        <is>
          <t>👥 BANCO DE DADOS DE PARTICIPANTES</t>
        </is>
      </c>
    </row>
    <row r="2" ht="15.95" customHeight="1" s="100">
      <c r="A2" s="59" t="inlineStr">
        <is>
          <t>Registro histórico HCPs e Staff · Brain 2026 como base · Expandir para cada evento</t>
        </is>
      </c>
    </row>
    <row r="3" ht="32.1" customHeight="1" s="100">
      <c r="A3" s="27" t="inlineStr">
        <is>
          <t>ID</t>
        </is>
      </c>
      <c r="B3" s="27" t="inlineStr">
        <is>
          <t>Nome</t>
        </is>
      </c>
      <c r="C3" s="27" t="inlineStr">
        <is>
          <t>Cargo/Regional</t>
        </is>
      </c>
      <c r="D3" s="27" t="inlineStr">
        <is>
          <t>Tipo</t>
        </is>
      </c>
      <c r="E3" s="27" t="inlineStr">
        <is>
          <t>Especialidade</t>
        </is>
      </c>
      <c r="F3" s="27" t="inlineStr">
        <is>
          <t>CRM</t>
        </is>
      </c>
      <c r="G3" s="27" t="inlineStr">
        <is>
          <t>UF</t>
        </is>
      </c>
      <c r="H3" s="27" t="inlineStr">
        <is>
          <t>Evento Ref.</t>
        </is>
      </c>
      <c r="I3" s="27" t="inlineStr">
        <is>
          <t>Hotel Bloco</t>
        </is>
      </c>
      <c r="J3" s="27" t="inlineStr">
        <is>
          <t>Aéreo R$</t>
        </is>
      </c>
      <c r="K3" s="27" t="inlineStr">
        <is>
          <t>Hospedagem R$</t>
        </is>
      </c>
      <c r="L3" s="27" t="inlineStr">
        <is>
          <t>Observações</t>
        </is>
      </c>
    </row>
    <row r="4" ht="24" customHeight="1" s="100">
      <c r="A4" s="76" t="n">
        <v>1</v>
      </c>
      <c r="B4" s="76" t="inlineStr">
        <is>
          <t>Pablo Oliveira</t>
        </is>
      </c>
      <c r="C4" s="76" t="inlineStr">
        <is>
          <t>Regional MKT</t>
        </is>
      </c>
      <c r="D4" s="76" t="inlineStr">
        <is>
          <t>Staff Takeda</t>
        </is>
      </c>
      <c r="E4" s="107" t="inlineStr">
        <is>
          <t>Gerente de Produto</t>
        </is>
      </c>
      <c r="F4" s="107" t="inlineStr">
        <is>
          <t>N/A</t>
        </is>
      </c>
      <c r="G4" s="107" t="inlineStr">
        <is>
          <t>N/A</t>
        </is>
      </c>
      <c r="H4" s="76" t="inlineStr">
        <is>
          <t>BRAIN 2026</t>
        </is>
      </c>
      <c r="I4" s="76" t="inlineStr">
        <is>
          <t>Hotel 1</t>
        </is>
      </c>
      <c r="J4" s="135" t="n">
        <v>0</v>
      </c>
      <c r="K4" s="135" t="n">
        <v>0</v>
      </c>
      <c r="L4" s="76" t="n"/>
    </row>
    <row r="5" ht="24" customHeight="1" s="100">
      <c r="A5" s="77" t="n">
        <v>2</v>
      </c>
      <c r="B5" s="77" t="inlineStr">
        <is>
          <t>Rogerio Lescura</t>
        </is>
      </c>
      <c r="C5" s="77" t="inlineStr">
        <is>
          <t>Regional MKT</t>
        </is>
      </c>
      <c r="D5" s="77" t="inlineStr">
        <is>
          <t>Staff Takeda</t>
        </is>
      </c>
      <c r="E5" s="108" t="inlineStr">
        <is>
          <t>Diretor Associado</t>
        </is>
      </c>
      <c r="F5" s="107" t="inlineStr">
        <is>
          <t>N/A</t>
        </is>
      </c>
      <c r="G5" s="107" t="inlineStr">
        <is>
          <t>N/A</t>
        </is>
      </c>
      <c r="H5" s="77" t="inlineStr">
        <is>
          <t>BRAIN 2026</t>
        </is>
      </c>
      <c r="I5" s="77" t="inlineStr">
        <is>
          <t>Hotel 1</t>
        </is>
      </c>
      <c r="J5" s="136" t="n">
        <v>0</v>
      </c>
      <c r="K5" s="136" t="n">
        <v>0</v>
      </c>
      <c r="L5" s="77" t="n"/>
    </row>
    <row r="6" ht="24" customHeight="1" s="100">
      <c r="A6" s="76" t="n">
        <v>3</v>
      </c>
      <c r="B6" s="76" t="inlineStr">
        <is>
          <t>Jeferson Silva</t>
        </is>
      </c>
      <c r="C6" s="76" t="inlineStr">
        <is>
          <t>Regional TR800</t>
        </is>
      </c>
      <c r="D6" s="76" t="inlineStr">
        <is>
          <t>Staff Takeda</t>
        </is>
      </c>
      <c r="E6" s="107" t="inlineStr">
        <is>
          <t>GR</t>
        </is>
      </c>
      <c r="F6" s="107" t="inlineStr">
        <is>
          <t>N/A</t>
        </is>
      </c>
      <c r="G6" s="107" t="inlineStr">
        <is>
          <t>N/A</t>
        </is>
      </c>
      <c r="H6" s="76" t="inlineStr">
        <is>
          <t>BRAIN 2026</t>
        </is>
      </c>
      <c r="I6" s="76" t="inlineStr">
        <is>
          <t>Hotel 1</t>
        </is>
      </c>
      <c r="J6" s="135" t="n">
        <v>0</v>
      </c>
      <c r="K6" s="135" t="n">
        <v>0</v>
      </c>
      <c r="L6" s="76" t="n"/>
    </row>
    <row r="7" ht="24" customHeight="1" s="100">
      <c r="A7" s="77" t="n">
        <v>4</v>
      </c>
      <c r="B7" s="77" t="inlineStr">
        <is>
          <t>Claudete Luz</t>
        </is>
      </c>
      <c r="C7" s="77" t="inlineStr">
        <is>
          <t>Regional TR500</t>
        </is>
      </c>
      <c r="D7" s="77" t="inlineStr">
        <is>
          <t>Staff Takeda</t>
        </is>
      </c>
      <c r="E7" s="108" t="inlineStr">
        <is>
          <t>GR</t>
        </is>
      </c>
      <c r="F7" s="107" t="inlineStr">
        <is>
          <t>N/A</t>
        </is>
      </c>
      <c r="G7" s="107" t="inlineStr">
        <is>
          <t>N/A</t>
        </is>
      </c>
      <c r="H7" s="77" t="inlineStr">
        <is>
          <t>BRAIN 2026</t>
        </is>
      </c>
      <c r="I7" s="77" t="inlineStr">
        <is>
          <t>Hotel 1</t>
        </is>
      </c>
      <c r="J7" s="136" t="n">
        <v>0</v>
      </c>
      <c r="K7" s="136" t="n">
        <v>0</v>
      </c>
      <c r="L7" s="77" t="n"/>
    </row>
    <row r="8" ht="24" customHeight="1" s="100">
      <c r="A8" s="76" t="n">
        <v>5</v>
      </c>
      <c r="B8" s="76" t="inlineStr">
        <is>
          <t>Raquel Quaiotti</t>
        </is>
      </c>
      <c r="C8" s="76" t="inlineStr">
        <is>
          <t>Regional TR600</t>
        </is>
      </c>
      <c r="D8" s="76" t="inlineStr">
        <is>
          <t>Staff Takeda</t>
        </is>
      </c>
      <c r="E8" s="107" t="inlineStr">
        <is>
          <t>GR</t>
        </is>
      </c>
      <c r="F8" s="107" t="inlineStr">
        <is>
          <t>N/A</t>
        </is>
      </c>
      <c r="G8" s="107" t="inlineStr">
        <is>
          <t>N/A</t>
        </is>
      </c>
      <c r="H8" s="76" t="inlineStr">
        <is>
          <t>BRAIN 2026</t>
        </is>
      </c>
      <c r="I8" s="76" t="inlineStr">
        <is>
          <t>Hotel 1</t>
        </is>
      </c>
      <c r="J8" s="135" t="n">
        <v>0</v>
      </c>
      <c r="K8" s="135" t="n">
        <v>0</v>
      </c>
      <c r="L8" s="76" t="n"/>
    </row>
    <row r="9" ht="24" customHeight="1" s="100">
      <c r="A9" s="77" t="n">
        <v>6</v>
      </c>
      <c r="B9" s="77" t="inlineStr">
        <is>
          <t>Max Rufino</t>
        </is>
      </c>
      <c r="C9" s="77" t="inlineStr">
        <is>
          <t>Regional TR400</t>
        </is>
      </c>
      <c r="D9" s="77" t="inlineStr">
        <is>
          <t>Staff Takeda</t>
        </is>
      </c>
      <c r="E9" s="108" t="inlineStr">
        <is>
          <t>GR</t>
        </is>
      </c>
      <c r="F9" s="107" t="inlineStr">
        <is>
          <t>N/A</t>
        </is>
      </c>
      <c r="G9" s="107" t="inlineStr">
        <is>
          <t>N/A</t>
        </is>
      </c>
      <c r="H9" s="77" t="inlineStr">
        <is>
          <t>BRAIN 2026</t>
        </is>
      </c>
      <c r="I9" s="77" t="inlineStr">
        <is>
          <t>Hotel 1</t>
        </is>
      </c>
      <c r="J9" s="136" t="n">
        <v>0</v>
      </c>
      <c r="K9" s="136" t="n">
        <v>0</v>
      </c>
      <c r="L9" s="77" t="n"/>
    </row>
    <row r="10" ht="24" customHeight="1" s="100">
      <c r="A10" s="76" t="n">
        <v>7</v>
      </c>
      <c r="B10" s="76" t="inlineStr">
        <is>
          <t>Cristhiane Novo</t>
        </is>
      </c>
      <c r="C10" s="76" t="inlineStr">
        <is>
          <t>Regional Eventos</t>
        </is>
      </c>
      <c r="D10" s="76" t="inlineStr">
        <is>
          <t>Staff Takeda</t>
        </is>
      </c>
      <c r="E10" s="107" t="inlineStr">
        <is>
          <t>Especialista Eventos</t>
        </is>
      </c>
      <c r="F10" s="107" t="inlineStr">
        <is>
          <t>N/A</t>
        </is>
      </c>
      <c r="G10" s="107" t="inlineStr">
        <is>
          <t>N/A</t>
        </is>
      </c>
      <c r="H10" s="76" t="inlineStr">
        <is>
          <t>BRAIN 2026</t>
        </is>
      </c>
      <c r="I10" s="76" t="inlineStr">
        <is>
          <t>Hotel 2</t>
        </is>
      </c>
      <c r="J10" s="135" t="n">
        <v>0</v>
      </c>
      <c r="K10" s="135" t="n">
        <v>0</v>
      </c>
      <c r="L10" s="76" t="n"/>
    </row>
    <row r="11" ht="24" customHeight="1" s="100">
      <c r="A11" s="77" t="n">
        <v>8</v>
      </c>
      <c r="B11" s="77" t="inlineStr">
        <is>
          <t>Heleno Nogueira</t>
        </is>
      </c>
      <c r="C11" s="77" t="inlineStr">
        <is>
          <t>Regional TR300</t>
        </is>
      </c>
      <c r="D11" s="77" t="inlineStr">
        <is>
          <t>Staff Takeda</t>
        </is>
      </c>
      <c r="E11" s="108" t="inlineStr">
        <is>
          <t>GR</t>
        </is>
      </c>
      <c r="F11" s="107" t="inlineStr">
        <is>
          <t>N/A</t>
        </is>
      </c>
      <c r="G11" s="107" t="inlineStr">
        <is>
          <t>N/A</t>
        </is>
      </c>
      <c r="H11" s="77" t="inlineStr">
        <is>
          <t>BRAIN 2026</t>
        </is>
      </c>
      <c r="I11" s="77" t="inlineStr">
        <is>
          <t>Hotel 2</t>
        </is>
      </c>
      <c r="J11" s="136" t="n">
        <v>0</v>
      </c>
      <c r="K11" s="136" t="n">
        <v>0</v>
      </c>
      <c r="L11" s="77" t="n"/>
    </row>
    <row r="12" ht="24" customHeight="1" s="100">
      <c r="A12" s="76" t="n">
        <v>9</v>
      </c>
      <c r="B12" s="76" t="inlineStr">
        <is>
          <t>Sergio Marden</t>
        </is>
      </c>
      <c r="C12" s="76" t="inlineStr">
        <is>
          <t>Regional TR100</t>
        </is>
      </c>
      <c r="D12" s="76" t="inlineStr">
        <is>
          <t>Staff Takeda</t>
        </is>
      </c>
      <c r="E12" s="107" t="inlineStr">
        <is>
          <t>Gr</t>
        </is>
      </c>
      <c r="F12" s="107" t="inlineStr">
        <is>
          <t>N/A</t>
        </is>
      </c>
      <c r="G12" s="107" t="inlineStr">
        <is>
          <t>N/A</t>
        </is>
      </c>
      <c r="H12" s="76" t="inlineStr">
        <is>
          <t>BRAIN 2026</t>
        </is>
      </c>
      <c r="I12" s="76" t="inlineStr">
        <is>
          <t>Hotel 2</t>
        </is>
      </c>
      <c r="J12" s="135" t="n">
        <v>0</v>
      </c>
      <c r="K12" s="135" t="n">
        <v>0</v>
      </c>
      <c r="L12" s="76" t="n"/>
    </row>
    <row r="13" ht="24" customHeight="1" s="100">
      <c r="A13" s="77" t="n">
        <v>10</v>
      </c>
      <c r="B13" s="77" t="inlineStr">
        <is>
          <t>Juliano Trevisani</t>
        </is>
      </c>
      <c r="C13" s="77" t="inlineStr">
        <is>
          <t>Regional TR700</t>
        </is>
      </c>
      <c r="D13" s="77" t="inlineStr">
        <is>
          <t>Staff Takeda</t>
        </is>
      </c>
      <c r="E13" s="108" t="inlineStr">
        <is>
          <t>GR</t>
        </is>
      </c>
      <c r="F13" s="107" t="inlineStr">
        <is>
          <t>N/A</t>
        </is>
      </c>
      <c r="G13" s="107" t="inlineStr">
        <is>
          <t>N/A</t>
        </is>
      </c>
      <c r="H13" s="77" t="inlineStr">
        <is>
          <t>BRAIN 2026</t>
        </is>
      </c>
      <c r="I13" s="77" t="inlineStr">
        <is>
          <t>Hotel 2</t>
        </is>
      </c>
      <c r="J13" s="136" t="n">
        <v>0</v>
      </c>
      <c r="K13" s="136" t="n">
        <v>0</v>
      </c>
      <c r="L13" s="77" t="n"/>
    </row>
    <row r="14" ht="24" customHeight="1" s="100">
      <c r="A14" s="76" t="n">
        <v>11</v>
      </c>
      <c r="B14" s="76" t="inlineStr">
        <is>
          <t>Edison Junior</t>
        </is>
      </c>
      <c r="C14" s="76" t="inlineStr">
        <is>
          <t>Regional TR200</t>
        </is>
      </c>
      <c r="D14" s="76" t="inlineStr">
        <is>
          <t>Staff Takeda</t>
        </is>
      </c>
      <c r="E14" s="107" t="inlineStr">
        <is>
          <t>GR</t>
        </is>
      </c>
      <c r="F14" s="107" t="inlineStr">
        <is>
          <t>N/A</t>
        </is>
      </c>
      <c r="G14" s="107" t="inlineStr">
        <is>
          <t>N/A</t>
        </is>
      </c>
      <c r="H14" s="76" t="inlineStr">
        <is>
          <t>BRAIN 2026</t>
        </is>
      </c>
      <c r="I14" s="76" t="inlineStr">
        <is>
          <t>Hotel 2</t>
        </is>
      </c>
      <c r="J14" s="135" t="n">
        <v>0</v>
      </c>
      <c r="K14" s="135" t="n">
        <v>0</v>
      </c>
      <c r="L14" s="76" t="n"/>
    </row>
    <row r="15" ht="24" customHeight="1" s="100">
      <c r="A15" s="77" t="n">
        <v>12</v>
      </c>
      <c r="B15" s="77" t="inlineStr">
        <is>
          <t>Paulo Borguetti</t>
        </is>
      </c>
      <c r="C15" s="77" t="inlineStr">
        <is>
          <t>Regional TR800</t>
        </is>
      </c>
      <c r="D15" s="77" t="inlineStr">
        <is>
          <t>Staff Takeda</t>
        </is>
      </c>
      <c r="E15" s="108" t="inlineStr">
        <is>
          <t>Consultor</t>
        </is>
      </c>
      <c r="F15" s="107" t="inlineStr">
        <is>
          <t>N/A</t>
        </is>
      </c>
      <c r="G15" s="107" t="inlineStr">
        <is>
          <t>N/A</t>
        </is>
      </c>
      <c r="H15" s="77" t="inlineStr">
        <is>
          <t>BRAIN 2026</t>
        </is>
      </c>
      <c r="I15" s="77" t="inlineStr">
        <is>
          <t>Hotel 3</t>
        </is>
      </c>
      <c r="J15" s="136" t="n">
        <v>0</v>
      </c>
      <c r="K15" s="136" t="n">
        <v>0</v>
      </c>
      <c r="L15" s="77" t="n"/>
    </row>
    <row r="16" ht="24" customHeight="1" s="100">
      <c r="A16" s="76" t="n">
        <v>13</v>
      </c>
      <c r="B16" s="76" t="inlineStr">
        <is>
          <t>Alex Marques</t>
        </is>
      </c>
      <c r="C16" s="76" t="inlineStr">
        <is>
          <t>Regional MKT</t>
        </is>
      </c>
      <c r="D16" s="76" t="inlineStr">
        <is>
          <t>Staff Takeda</t>
        </is>
      </c>
      <c r="E16" s="107" t="inlineStr">
        <is>
          <t>Analista Marketing</t>
        </is>
      </c>
      <c r="F16" s="107" t="inlineStr">
        <is>
          <t>N/A</t>
        </is>
      </c>
      <c r="G16" s="107" t="inlineStr">
        <is>
          <t>N/A</t>
        </is>
      </c>
      <c r="H16" s="76" t="inlineStr">
        <is>
          <t>BRAIN 2026</t>
        </is>
      </c>
      <c r="I16" s="76" t="inlineStr">
        <is>
          <t>Hotel 3</t>
        </is>
      </c>
      <c r="J16" s="135" t="n">
        <v>0</v>
      </c>
      <c r="K16" s="135" t="n">
        <v>0</v>
      </c>
      <c r="L16" s="76" t="n"/>
    </row>
    <row r="17" ht="24" customHeight="1" s="100">
      <c r="A17" s="77" t="n">
        <v>14</v>
      </c>
      <c r="B17" s="77" t="inlineStr">
        <is>
          <t>Bianca Facas</t>
        </is>
      </c>
      <c r="C17" s="77" t="inlineStr">
        <is>
          <t>Regional Medical</t>
        </is>
      </c>
      <c r="D17" s="77" t="inlineStr">
        <is>
          <t>Staff Takeda</t>
        </is>
      </c>
      <c r="E17" s="108" t="inlineStr">
        <is>
          <t>Gerente Medica</t>
        </is>
      </c>
      <c r="F17" s="107" t="inlineStr">
        <is>
          <t>N/A</t>
        </is>
      </c>
      <c r="G17" s="107" t="inlineStr">
        <is>
          <t>N/A</t>
        </is>
      </c>
      <c r="H17" s="77" t="inlineStr">
        <is>
          <t>BRAIN 2026</t>
        </is>
      </c>
      <c r="I17" s="77" t="inlineStr">
        <is>
          <t>Hotel 3</t>
        </is>
      </c>
      <c r="J17" s="136" t="n">
        <v>0</v>
      </c>
      <c r="K17" s="136" t="n">
        <v>0</v>
      </c>
      <c r="L17" s="77" t="n"/>
    </row>
    <row r="18" ht="24" customHeight="1" s="100">
      <c r="A18" s="76" t="n">
        <v>15</v>
      </c>
      <c r="B18" s="76" t="inlineStr">
        <is>
          <t>Taciana Marcolino</t>
        </is>
      </c>
      <c r="C18" s="76" t="inlineStr">
        <is>
          <t>Regional Medical</t>
        </is>
      </c>
      <c r="D18" s="76" t="inlineStr">
        <is>
          <t>Staff Takeda</t>
        </is>
      </c>
      <c r="E18" s="107" t="inlineStr">
        <is>
          <t>MSL</t>
        </is>
      </c>
      <c r="F18" s="107" t="inlineStr">
        <is>
          <t>N/A</t>
        </is>
      </c>
      <c r="G18" s="107" t="inlineStr">
        <is>
          <t>N/A</t>
        </is>
      </c>
      <c r="H18" s="76" t="inlineStr">
        <is>
          <t>BRAIN 2026</t>
        </is>
      </c>
      <c r="I18" s="76" t="inlineStr">
        <is>
          <t>Hotel 3</t>
        </is>
      </c>
      <c r="J18" s="135" t="n">
        <v>0</v>
      </c>
      <c r="K18" s="135" t="n">
        <v>0</v>
      </c>
      <c r="L18" s="76" t="n"/>
    </row>
  </sheetData>
  <mergeCells count="2">
    <mergeCell ref="A2:L2"/>
    <mergeCell ref="A1:L1"/>
  </mergeCells>
  <dataValidations count="1">
    <dataValidation sqref="D4:D18" showDropDown="0" showInputMessage="1" showErrorMessage="1" allowBlank="0" promptTitle="Tipo" type="list">
      <formula1>"Staff Takeda,HCP Convidado,Palestrante,Coordenador,Moderador"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15" sqref="C15"/>
    </sheetView>
  </sheetViews>
  <sheetFormatPr baseColWidth="8" defaultRowHeight="15"/>
  <cols>
    <col width="27.28515625" bestFit="1" customWidth="1" style="100" min="1" max="1"/>
    <col width="15.85546875" bestFit="1" customWidth="1" style="100" min="2" max="2"/>
    <col width="11.7109375" bestFit="1" customWidth="1" style="100" min="3" max="3"/>
  </cols>
  <sheetData>
    <row r="1">
      <c r="A1" t="inlineStr">
        <is>
          <t>Métrica</t>
        </is>
      </c>
      <c r="B1" t="inlineStr">
        <is>
          <t>Valor</t>
        </is>
      </c>
      <c r="C1" t="inlineStr">
        <is>
          <t>Categoria</t>
        </is>
      </c>
    </row>
    <row r="2">
      <c r="A2" t="inlineStr">
        <is>
          <t>Total Eventos</t>
        </is>
      </c>
      <c r="B2" t="n">
        <v>52</v>
      </c>
      <c r="C2" t="inlineStr">
        <is>
          <t>Eventos</t>
        </is>
      </c>
    </row>
    <row r="3">
      <c r="A3" t="inlineStr">
        <is>
          <t>Eventos a Realizar</t>
        </is>
      </c>
      <c r="B3" t="n">
        <v>14</v>
      </c>
      <c r="C3" t="inlineStr">
        <is>
          <t>Eventos</t>
        </is>
      </c>
    </row>
    <row r="4">
      <c r="A4" t="inlineStr">
        <is>
          <t>Eventos Realizados</t>
        </is>
      </c>
      <c r="B4" t="n">
        <v>38</v>
      </c>
      <c r="C4" t="inlineStr">
        <is>
          <t>Eventos</t>
        </is>
      </c>
    </row>
    <row r="5">
      <c r="A5" t="inlineStr">
        <is>
          <t>Eventos Cancelados</t>
        </is>
      </c>
      <c r="B5" t="n">
        <v>0</v>
      </c>
      <c r="C5" t="inlineStr">
        <is>
          <t>Eventos</t>
        </is>
      </c>
    </row>
    <row r="6">
      <c r="A6" t="inlineStr">
        <is>
          <t>Total Atividades</t>
        </is>
      </c>
      <c r="B6" t="n">
        <v>130</v>
      </c>
      <c r="C6" t="inlineStr">
        <is>
          <t>Atividades</t>
        </is>
      </c>
    </row>
    <row r="7">
      <c r="A7" t="inlineStr">
        <is>
          <t>Atividades Pendentes</t>
        </is>
      </c>
      <c r="B7" t="n">
        <v>66</v>
      </c>
      <c r="C7" t="inlineStr">
        <is>
          <t>Atividades</t>
        </is>
      </c>
    </row>
    <row r="8">
      <c r="A8" t="inlineStr">
        <is>
          <t>Atividades Atrasadas</t>
        </is>
      </c>
      <c r="B8" t="n">
        <v>0</v>
      </c>
      <c r="C8" t="inlineStr">
        <is>
          <t>Atividades</t>
        </is>
      </c>
    </row>
    <row r="9">
      <c r="A9" t="inlineStr">
        <is>
          <t>Atividades Concluídas</t>
        </is>
      </c>
      <c r="B9" t="n">
        <v>62</v>
      </c>
      <c r="C9" t="inlineStr">
        <is>
          <t>Atividades</t>
        </is>
      </c>
    </row>
    <row r="10">
      <c r="A10" t="inlineStr">
        <is>
          <t>Total Orçado (R$)</t>
        </is>
      </c>
      <c r="B10" s="137" t="n">
        <v>3232995.04</v>
      </c>
      <c r="C10" t="inlineStr">
        <is>
          <t>Financeiro</t>
        </is>
      </c>
    </row>
    <row r="11">
      <c r="A11" t="inlineStr">
        <is>
          <t>Total Realizado (R$)</t>
        </is>
      </c>
      <c r="B11" s="137" t="n">
        <v>503829.01</v>
      </c>
      <c r="C11" t="inlineStr">
        <is>
          <t>Financeiro</t>
        </is>
      </c>
    </row>
    <row r="12">
      <c r="A12" t="inlineStr">
        <is>
          <t>Desvio Orçamentário (R$)</t>
        </is>
      </c>
      <c r="B12" s="137" t="n">
        <v>-2729166.03</v>
      </c>
      <c r="C12" t="inlineStr">
        <is>
          <t>Financeiro</t>
        </is>
      </c>
    </row>
    <row r="13">
      <c r="A13" t="inlineStr">
        <is>
          <t>Pagamentos Pendentes (qtd)</t>
        </is>
      </c>
      <c r="B13" t="n">
        <v>2</v>
      </c>
      <c r="C13" t="inlineStr">
        <is>
          <t>Financeiro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.140625" bestFit="1" customWidth="1" style="100" min="1" max="1"/>
    <col width="43.140625" bestFit="1" customWidth="1" style="100" min="2" max="2"/>
    <col width="14.140625" bestFit="1" customWidth="1" style="100" min="3" max="3"/>
    <col width="5.42578125" bestFit="1" customWidth="1" style="100" min="4" max="4"/>
    <col width="13.42578125" bestFit="1" customWidth="1" style="100" min="5" max="5"/>
    <col width="17.28515625" bestFit="1" customWidth="1" style="100" min="6" max="6"/>
    <col width="9.7109375" bestFit="1" customWidth="1" style="100" min="7" max="7"/>
    <col width="14.5703125" bestFit="1" customWidth="1" style="100" min="8" max="8"/>
    <col width="14.28515625" bestFit="1" customWidth="1" style="100" min="9" max="11"/>
    <col width="12.85546875" bestFit="1" customWidth="1" style="100" min="12" max="12"/>
    <col width="15.140625" bestFit="1" customWidth="1" style="100" min="13" max="13"/>
    <col width="65.7109375" bestFit="1" customWidth="1" style="100" min="14" max="14"/>
    <col width="11.85546875" bestFit="1" customWidth="1" style="100" min="15" max="15"/>
    <col width="11.28515625" bestFit="1" customWidth="1" style="100" min="16" max="16"/>
    <col width="12.85546875" bestFit="1" customWidth="1" style="100" min="17" max="17"/>
  </cols>
  <sheetData>
    <row r="1">
      <c r="A1" t="inlineStr">
        <is>
          <t>ID</t>
        </is>
      </c>
      <c r="B1" t="inlineStr">
        <is>
          <t>Evento</t>
        </is>
      </c>
      <c r="C1" t="inlineStr">
        <is>
          <t>EM (Padrão)</t>
        </is>
      </c>
      <c r="D1" t="inlineStr">
        <is>
          <t>FY</t>
        </is>
      </c>
      <c r="E1" t="inlineStr">
        <is>
          <t>Fornecedor</t>
        </is>
      </c>
      <c r="F1" t="inlineStr">
        <is>
          <t>Tipo de Custo</t>
        </is>
      </c>
      <c r="G1" t="inlineStr">
        <is>
          <t>PO/WF</t>
        </is>
      </c>
      <c r="H1" t="inlineStr">
        <is>
          <t>Orç. Previsto</t>
        </is>
      </c>
      <c r="I1" t="inlineStr">
        <is>
          <t>Real. FY2025</t>
        </is>
      </c>
      <c r="J1" t="inlineStr">
        <is>
          <t>Real. FY2026</t>
        </is>
      </c>
      <c r="K1" t="inlineStr">
        <is>
          <t>Total Evento</t>
        </is>
      </c>
      <c r="L1" t="inlineStr">
        <is>
          <t>Status Pag.</t>
        </is>
      </c>
      <c r="M1" t="inlineStr">
        <is>
          <t>Status NF/ND</t>
        </is>
      </c>
      <c r="N1" t="inlineStr">
        <is>
          <t>Observações</t>
        </is>
      </c>
      <c r="O1" t="inlineStr">
        <is>
          <t>Desvio R$</t>
        </is>
      </c>
      <c r="P1" t="inlineStr">
        <is>
          <t>Desvio %</t>
        </is>
      </c>
      <c r="Q1" t="inlineStr">
        <is>
          <t>Prioridade</t>
        </is>
      </c>
    </row>
    <row r="2">
      <c r="A2" t="n">
        <v>5</v>
      </c>
      <c r="B2" t="inlineStr">
        <is>
          <t>FORUM NACIONAL DE ACESSO GEDIIB BRASÍLIA</t>
        </is>
      </c>
      <c r="C2" t="inlineStr">
        <is>
          <t>EM-035749</t>
        </is>
      </c>
      <c r="D2" t="inlineStr">
        <is>
          <t>2026</t>
        </is>
      </c>
      <c r="E2" t="inlineStr">
        <is>
          <t>Sociedade</t>
        </is>
      </c>
      <c r="F2" t="inlineStr">
        <is>
          <t>Cota de Patrocínio</t>
        </is>
      </c>
      <c r="G2" t="inlineStr">
        <is>
          <t>Pendente</t>
        </is>
      </c>
      <c r="H2" t="n">
        <v>65000</v>
      </c>
      <c r="I2" t="n">
        <v>0</v>
      </c>
      <c r="J2" t="n">
        <v>65000</v>
      </c>
      <c r="K2" t="n">
        <v>65000</v>
      </c>
      <c r="L2" t="inlineStr">
        <is>
          <t>Pendente</t>
        </is>
      </c>
      <c r="M2" t="inlineStr">
        <is>
          <t>Pendente</t>
        </is>
      </c>
      <c r="N2" t="inlineStr">
        <is>
          <t>R$65.000,00 valor total da cota de patrocínio para 2 eventos Brasília e BH</t>
        </is>
      </c>
      <c r="O2" t="n">
        <v>0</v>
      </c>
      <c r="P2" t="n">
        <v>0</v>
      </c>
      <c r="Q2" t="inlineStr">
        <is>
          <t>SOLICITAR NF</t>
        </is>
      </c>
    </row>
    <row r="3">
      <c r="A3" t="n">
        <v>28</v>
      </c>
      <c r="B3" t="inlineStr">
        <is>
          <t>Masterclass</t>
        </is>
      </c>
      <c r="C3" t="inlineStr">
        <is>
          <t>PENDENTE</t>
        </is>
      </c>
      <c r="D3" t="inlineStr">
        <is>
          <t>2026</t>
        </is>
      </c>
      <c r="E3" t="inlineStr">
        <is>
          <t>Sociedade</t>
        </is>
      </c>
      <c r="F3" t="inlineStr">
        <is>
          <t>Cota de Patrocínio</t>
        </is>
      </c>
      <c r="G3" t="inlineStr">
        <is>
          <t>Pendente</t>
        </is>
      </c>
      <c r="H3" t="n">
        <v>240000</v>
      </c>
      <c r="I3" t="n">
        <v>0</v>
      </c>
      <c r="J3" t="n">
        <v>0</v>
      </c>
      <c r="K3" t="n">
        <v>0</v>
      </c>
      <c r="L3" t="inlineStr">
        <is>
          <t>Pendente</t>
        </is>
      </c>
      <c r="O3" t="n">
        <v>-240000</v>
      </c>
      <c r="P3" t="n">
        <v>-1</v>
      </c>
      <c r="Q3" t="inlineStr">
        <is>
          <t>SOLICITAR NF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5.140625" bestFit="1" customWidth="1" style="100" min="1" max="1"/>
    <col width="28.140625" bestFit="1" customWidth="1" style="100" min="2" max="2"/>
    <col width="81.140625" bestFit="1" customWidth="1" style="100" min="3" max="3"/>
    <col width="74.5703125" bestFit="1" customWidth="1" style="100" min="4" max="4"/>
    <col width="14.42578125" bestFit="1" customWidth="1" style="100" min="5" max="5"/>
    <col width="8.140625" bestFit="1" customWidth="1" style="100" min="6" max="6"/>
    <col width="14.28515625" bestFit="1" customWidth="1" style="100" min="7" max="7"/>
    <col width="10.28515625" bestFit="1" customWidth="1" style="100" min="8" max="8"/>
    <col width="14.5703125" bestFit="1" customWidth="1" style="100" min="9" max="9"/>
    <col width="15.7109375" bestFit="1" customWidth="1" style="100" min="10" max="10"/>
    <col width="12.85546875" bestFit="1" customWidth="1" style="100" min="11" max="11"/>
  </cols>
  <sheetData>
    <row r="1">
      <c r="A1" t="inlineStr">
        <is>
          <t>ID</t>
        </is>
      </c>
      <c r="B1" t="inlineStr">
        <is>
          <t>Evento</t>
        </is>
      </c>
      <c r="C1" t="inlineStr">
        <is>
          <t>Etapa</t>
        </is>
      </c>
      <c r="D1" t="inlineStr">
        <is>
          <t>Atividade</t>
        </is>
      </c>
      <c r="E1" t="inlineStr">
        <is>
          <t>Responsável</t>
        </is>
      </c>
      <c r="F1" t="inlineStr">
        <is>
          <t>Prazo</t>
        </is>
      </c>
      <c r="G1" t="inlineStr">
        <is>
          <t>% Conclusão</t>
        </is>
      </c>
      <c r="H1" t="inlineStr">
        <is>
          <t>Status</t>
        </is>
      </c>
      <c r="I1" t="inlineStr">
        <is>
          <t>Observações</t>
        </is>
      </c>
      <c r="J1" t="inlineStr">
        <is>
          <t>Dias até Prazo</t>
        </is>
      </c>
      <c r="K1" t="inlineStr">
        <is>
          <t>Criticidade</t>
        </is>
      </c>
    </row>
    <row r="2">
      <c r="A2" t="n">
        <v>31</v>
      </c>
      <c r="B2" t="inlineStr">
        <is>
          <t>Congresso Medicina do Sono</t>
        </is>
      </c>
      <c r="C2" t="inlineStr">
        <is>
          <t>Pós Evento</t>
        </is>
      </c>
      <c r="D2" t="inlineStr">
        <is>
          <t>Evidência de contrapartidas</t>
        </is>
      </c>
      <c r="F2" s="85" t="n"/>
      <c r="G2" t="n">
        <v>0</v>
      </c>
      <c r="H2" t="inlineStr">
        <is>
          <t>PENDENTE</t>
        </is>
      </c>
      <c r="K2" t="inlineStr">
        <is>
          <t>INDEFINIDO</t>
        </is>
      </c>
    </row>
    <row r="3">
      <c r="A3" t="n">
        <v>90</v>
      </c>
      <c r="B3" t="inlineStr">
        <is>
          <t>CONASENS</t>
        </is>
      </c>
      <c r="C3" t="inlineStr">
        <is>
          <t>LOGOMARCA EM HOTSITE PÓS-EVENTO</t>
        </is>
      </c>
      <c r="D3" t="inlineStr">
        <is>
          <t>logo TakedaPor 30 (trinta) dias após o término do EVENTO</t>
        </is>
      </c>
      <c r="F3" s="85" t="n"/>
      <c r="G3" t="n">
        <v>0</v>
      </c>
      <c r="H3" t="inlineStr">
        <is>
          <t>PENDENTE</t>
        </is>
      </c>
      <c r="K3" t="inlineStr">
        <is>
          <t>INDEFINIDO</t>
        </is>
      </c>
    </row>
    <row r="4">
      <c r="A4" t="n">
        <v>91</v>
      </c>
      <c r="B4" t="inlineStr">
        <is>
          <t>CONASENS</t>
        </is>
      </c>
      <c r="C4" t="inlineStr">
        <is>
          <t>Credencial Extra</t>
        </is>
      </c>
      <c r="D4" t="inlineStr">
        <is>
          <t>500,00*</t>
        </is>
      </c>
      <c r="F4" s="85" t="n"/>
      <c r="G4" t="n">
        <v>0</v>
      </c>
      <c r="H4" t="inlineStr">
        <is>
          <t>PENDENTE</t>
        </is>
      </c>
      <c r="K4" t="inlineStr">
        <is>
          <t>INDEFINIDO</t>
        </is>
      </c>
    </row>
    <row r="5">
      <c r="A5" t="n">
        <v>92</v>
      </c>
      <c r="B5" t="inlineStr">
        <is>
          <t>CONASENS</t>
        </is>
      </c>
      <c r="C5" t="inlineStr">
        <is>
          <t>*Em caso de necessidade de um maior número de inscrições de Expositores, serão solicitados dados
necessários para análise de concessão de desconto na inscrição</t>
        </is>
      </c>
      <c r="F5" s="85" t="n"/>
      <c r="G5" t="n">
        <v>0</v>
      </c>
      <c r="H5" t="inlineStr">
        <is>
          <t>PENDENTE</t>
        </is>
      </c>
      <c r="K5" t="inlineStr">
        <is>
          <t>INDEFINIDO</t>
        </is>
      </c>
    </row>
    <row r="6">
      <c r="A6" t="n">
        <v>97</v>
      </c>
      <c r="B6" t="inlineStr">
        <is>
          <t>APRENDER CRIANÇA 2026</t>
        </is>
      </c>
      <c r="C6" t="inlineStr">
        <is>
          <t>Stand</t>
        </is>
      </c>
      <c r="D6" t="inlineStr">
        <is>
          <t>Documentação Prefeitura (RJ/Gramado)</t>
        </is>
      </c>
      <c r="F6" s="85" t="n"/>
      <c r="G6" t="n">
        <v>0</v>
      </c>
      <c r="H6" t="inlineStr">
        <is>
          <t>PENDENTE</t>
        </is>
      </c>
      <c r="I6" t="inlineStr">
        <is>
          <t>-</t>
        </is>
      </c>
      <c r="K6" t="inlineStr">
        <is>
          <t>INDEFINIDO</t>
        </is>
      </c>
    </row>
    <row r="7">
      <c r="A7" t="n">
        <v>98</v>
      </c>
      <c r="B7" t="inlineStr">
        <is>
          <t>APRENDER CRIANÇA 2026</t>
        </is>
      </c>
      <c r="C7" t="inlineStr">
        <is>
          <t>Buffet</t>
        </is>
      </c>
      <c r="D7" t="inlineStr">
        <is>
          <t>Orçamento Stand</t>
        </is>
      </c>
      <c r="F7" s="85" t="n"/>
      <c r="G7" t="n">
        <v>0</v>
      </c>
      <c r="H7" t="inlineStr">
        <is>
          <t>PENDENTE</t>
        </is>
      </c>
      <c r="I7" t="inlineStr">
        <is>
          <t>-</t>
        </is>
      </c>
      <c r="K7" t="inlineStr">
        <is>
          <t>INDEFINIDO</t>
        </is>
      </c>
    </row>
    <row r="8">
      <c r="A8" t="n">
        <v>99</v>
      </c>
      <c r="B8" t="inlineStr">
        <is>
          <t>APRENDER CRIANÇA 2026</t>
        </is>
      </c>
      <c r="C8" t="inlineStr">
        <is>
          <t>Staff</t>
        </is>
      </c>
      <c r="D8" t="inlineStr">
        <is>
          <t>Lista de staff participantes/ Escala</t>
        </is>
      </c>
      <c r="F8" s="85" t="n"/>
      <c r="G8" t="n">
        <v>0</v>
      </c>
      <c r="H8" t="inlineStr">
        <is>
          <t>PENDENTE</t>
        </is>
      </c>
      <c r="K8" t="inlineStr">
        <is>
          <t>INDEFINIDO</t>
        </is>
      </c>
    </row>
    <row r="9">
      <c r="A9" t="n">
        <v>100</v>
      </c>
      <c r="B9" t="inlineStr">
        <is>
          <t>APRENDER CRIANÇA 2026</t>
        </is>
      </c>
      <c r="C9" t="inlineStr">
        <is>
          <t>Ag. Logística</t>
        </is>
      </c>
      <c r="D9" t="inlineStr">
        <is>
          <t>Coordenador</t>
        </is>
      </c>
      <c r="F9" s="85" t="n"/>
      <c r="G9" t="n">
        <v>0</v>
      </c>
      <c r="H9" t="inlineStr">
        <is>
          <t>PENDENTE</t>
        </is>
      </c>
      <c r="K9" t="inlineStr">
        <is>
          <t>INDEFINIDO</t>
        </is>
      </c>
    </row>
    <row r="10">
      <c r="A10" t="n">
        <v>101</v>
      </c>
      <c r="B10" t="inlineStr">
        <is>
          <t>APRENDER CRIANÇA 2026</t>
        </is>
      </c>
      <c r="C10" t="inlineStr">
        <is>
          <t>Alinhamentos Finais</t>
        </is>
      </c>
      <c r="D10" t="inlineStr">
        <is>
          <t>Email Informações Gerais</t>
        </is>
      </c>
      <c r="F10" s="85" t="n"/>
      <c r="G10" t="n">
        <v>0</v>
      </c>
      <c r="H10" t="inlineStr">
        <is>
          <t>PENDENTE</t>
        </is>
      </c>
      <c r="K10" t="inlineStr">
        <is>
          <t>INDEFINIDO</t>
        </is>
      </c>
    </row>
    <row r="11">
      <c r="A11" t="n">
        <v>103</v>
      </c>
      <c r="B11" t="inlineStr">
        <is>
          <t>Advisory Board Fruzaqla</t>
        </is>
      </c>
      <c r="C11" t="inlineStr">
        <is>
          <t>VEEVA</t>
        </is>
      </c>
      <c r="D11" t="inlineStr">
        <is>
          <t>EM Aprovada</t>
        </is>
      </c>
      <c r="F11" s="85" t="n"/>
      <c r="G11" t="n">
        <v>0</v>
      </c>
      <c r="H11" t="inlineStr">
        <is>
          <t>PENDENTE</t>
        </is>
      </c>
      <c r="K11" t="inlineStr">
        <is>
          <t>INDEFINIDO</t>
        </is>
      </c>
    </row>
    <row r="12">
      <c r="A12" t="n">
        <v>105</v>
      </c>
      <c r="B12" t="inlineStr">
        <is>
          <t>Advisory Board Fruzaqla</t>
        </is>
      </c>
      <c r="C12" t="inlineStr">
        <is>
          <t>Agg. Produção</t>
        </is>
      </c>
      <c r="D12" t="inlineStr">
        <is>
          <t>Solicitar orçamento</t>
        </is>
      </c>
      <c r="F12" s="85" t="n"/>
      <c r="G12" t="n">
        <v>0</v>
      </c>
      <c r="H12" t="inlineStr">
        <is>
          <t>PENDENTE</t>
        </is>
      </c>
      <c r="K12" t="inlineStr">
        <is>
          <t>INDEFINIDO</t>
        </is>
      </c>
    </row>
    <row r="13">
      <c r="A13" t="n">
        <v>106</v>
      </c>
      <c r="B13" t="inlineStr">
        <is>
          <t>Advisory Board Fruzaqla</t>
        </is>
      </c>
      <c r="C13" t="inlineStr">
        <is>
          <t>Palestrantes</t>
        </is>
      </c>
      <c r="D13" t="inlineStr">
        <is>
          <t>Contrato Palestrantes</t>
        </is>
      </c>
      <c r="F13" s="85" t="n"/>
      <c r="G13" t="n">
        <v>0</v>
      </c>
      <c r="H13" t="inlineStr">
        <is>
          <t>PENDENTE</t>
        </is>
      </c>
      <c r="K13" t="inlineStr">
        <is>
          <t>INDEFINIDO</t>
        </is>
      </c>
    </row>
    <row r="14">
      <c r="A14" t="n">
        <v>107</v>
      </c>
      <c r="B14" t="inlineStr">
        <is>
          <t>Advisory Board Fruzaqla</t>
        </is>
      </c>
      <c r="C14" t="inlineStr">
        <is>
          <t>RSVP</t>
        </is>
      </c>
      <c r="D14" t="inlineStr">
        <is>
          <t>Envio das planilhas com dados dos convidados</t>
        </is>
      </c>
      <c r="F14" s="85" t="n"/>
      <c r="G14" t="n">
        <v>0</v>
      </c>
      <c r="H14" t="inlineStr">
        <is>
          <t>PENDENTE</t>
        </is>
      </c>
      <c r="K14" t="inlineStr">
        <is>
          <t>INDEFINIDO</t>
        </is>
      </c>
    </row>
    <row r="15">
      <c r="A15" t="n">
        <v>109</v>
      </c>
      <c r="B15" t="inlineStr">
        <is>
          <t>MASTERCLASS 2026</t>
        </is>
      </c>
      <c r="C15" t="inlineStr">
        <is>
          <t>VEEVA</t>
        </is>
      </c>
      <c r="D15" t="inlineStr">
        <is>
          <t>EM Aprovada</t>
        </is>
      </c>
      <c r="F15" s="85" t="n"/>
      <c r="G15" t="n">
        <v>0</v>
      </c>
      <c r="H15" t="inlineStr">
        <is>
          <t>PENDENTE</t>
        </is>
      </c>
      <c r="K15" t="inlineStr">
        <is>
          <t>INDEFINIDO</t>
        </is>
      </c>
    </row>
    <row r="16">
      <c r="A16" t="n">
        <v>110</v>
      </c>
      <c r="B16" t="inlineStr">
        <is>
          <t>MASTERCLASS 2026</t>
        </is>
      </c>
      <c r="C16" t="inlineStr">
        <is>
          <t>Sociedade</t>
        </is>
      </c>
      <c r="D16" t="inlineStr">
        <is>
          <t>Contrato (cota)</t>
        </is>
      </c>
      <c r="F16" s="85" t="n"/>
      <c r="G16" t="n">
        <v>0</v>
      </c>
      <c r="H16" t="inlineStr">
        <is>
          <t>PENDENTE</t>
        </is>
      </c>
      <c r="K16" t="inlineStr">
        <is>
          <t>INDEFINIDO</t>
        </is>
      </c>
    </row>
    <row r="17">
      <c r="A17" t="n">
        <v>111</v>
      </c>
      <c r="B17" t="inlineStr">
        <is>
          <t>MASTERCLASS 2026</t>
        </is>
      </c>
      <c r="C17" t="inlineStr">
        <is>
          <t>Stand</t>
        </is>
      </c>
      <c r="D17" t="inlineStr">
        <is>
          <t>Documentação Prefeitura (RJ/Gramado)</t>
        </is>
      </c>
      <c r="F17" s="85" t="n"/>
      <c r="G17" t="n">
        <v>0</v>
      </c>
      <c r="H17" t="inlineStr">
        <is>
          <t>PENDENTE</t>
        </is>
      </c>
      <c r="K17" t="inlineStr">
        <is>
          <t>INDEFINIDO</t>
        </is>
      </c>
    </row>
    <row r="18">
      <c r="A18" t="n">
        <v>112</v>
      </c>
      <c r="B18" t="inlineStr">
        <is>
          <t>MASTERCLASS 2026</t>
        </is>
      </c>
      <c r="C18" t="inlineStr">
        <is>
          <t>Buffet</t>
        </is>
      </c>
      <c r="D18" t="inlineStr">
        <is>
          <t>Solicitar Orçamento Stand</t>
        </is>
      </c>
      <c r="F18" s="85" t="n"/>
      <c r="G18" t="n">
        <v>0</v>
      </c>
      <c r="H18" t="inlineStr">
        <is>
          <t>PENDENTE</t>
        </is>
      </c>
      <c r="K18" t="inlineStr">
        <is>
          <t>INDEFINIDO</t>
        </is>
      </c>
    </row>
    <row r="19">
      <c r="A19" t="n">
        <v>113</v>
      </c>
      <c r="B19" t="inlineStr">
        <is>
          <t>MASTERCLASS 2026</t>
        </is>
      </c>
      <c r="C19" t="inlineStr">
        <is>
          <t>Staff</t>
        </is>
      </c>
      <c r="D19" t="inlineStr">
        <is>
          <t>Lista de staff participantes/ Escala</t>
        </is>
      </c>
      <c r="F19" s="85" t="n"/>
      <c r="G19" t="n">
        <v>0</v>
      </c>
      <c r="H19" t="inlineStr">
        <is>
          <t>PENDENTE</t>
        </is>
      </c>
      <c r="K19" t="inlineStr">
        <is>
          <t>INDEFINIDO</t>
        </is>
      </c>
    </row>
    <row r="20">
      <c r="A20" t="n">
        <v>114</v>
      </c>
      <c r="B20" t="inlineStr">
        <is>
          <t>MASTERCLASS 2026</t>
        </is>
      </c>
      <c r="C20" t="inlineStr">
        <is>
          <t>Ag. Logística</t>
        </is>
      </c>
      <c r="D20" t="inlineStr">
        <is>
          <t>Coordenador</t>
        </is>
      </c>
      <c r="F20" s="85" t="n"/>
      <c r="G20" t="n">
        <v>0</v>
      </c>
      <c r="H20" t="inlineStr">
        <is>
          <t>PENDENTE</t>
        </is>
      </c>
      <c r="K20" t="inlineStr">
        <is>
          <t>INDEFINIDO</t>
        </is>
      </c>
    </row>
    <row r="21">
      <c r="A21" t="n">
        <v>115</v>
      </c>
      <c r="B21" t="inlineStr">
        <is>
          <t>MASTERCLASS 2026</t>
        </is>
      </c>
      <c r="C21" t="inlineStr">
        <is>
          <t>Alinhamentos Finais</t>
        </is>
      </c>
      <c r="D21" t="inlineStr">
        <is>
          <t>Email Informações Gerais</t>
        </is>
      </c>
      <c r="F21" s="85" t="n"/>
      <c r="G21" t="n">
        <v>0</v>
      </c>
      <c r="H21" t="inlineStr">
        <is>
          <t>PENDENTE</t>
        </is>
      </c>
      <c r="K21" t="inlineStr">
        <is>
          <t>INDEFINIDO</t>
        </is>
      </c>
    </row>
    <row r="22">
      <c r="A22" t="n">
        <v>116</v>
      </c>
      <c r="B22" t="inlineStr">
        <is>
          <t>MASTERCLASS 2026 - Simpósio</t>
        </is>
      </c>
      <c r="C22" t="inlineStr">
        <is>
          <t>Planejamento</t>
        </is>
      </c>
      <c r="D22" t="inlineStr">
        <is>
          <t>Briefing</t>
        </is>
      </c>
      <c r="F22" s="85" t="n"/>
      <c r="G22" t="n">
        <v>0</v>
      </c>
      <c r="H22" t="inlineStr">
        <is>
          <t>PENDENTE</t>
        </is>
      </c>
      <c r="K22" t="inlineStr">
        <is>
          <t>INDEFINIDO</t>
        </is>
      </c>
    </row>
    <row r="23">
      <c r="A23" t="n">
        <v>117</v>
      </c>
      <c r="B23" t="inlineStr">
        <is>
          <t>MASTERCLASS 2026 - Simpósio</t>
        </is>
      </c>
      <c r="C23" t="inlineStr">
        <is>
          <t>VEEVA</t>
        </is>
      </c>
      <c r="D23" t="inlineStr">
        <is>
          <t>EM COTA</t>
        </is>
      </c>
      <c r="F23" s="85" t="n"/>
      <c r="G23" t="n">
        <v>0</v>
      </c>
      <c r="H23" t="inlineStr">
        <is>
          <t>PENDENTE</t>
        </is>
      </c>
      <c r="K23" t="inlineStr">
        <is>
          <t>INDEFINIDO</t>
        </is>
      </c>
    </row>
    <row r="24">
      <c r="A24" t="n">
        <v>118</v>
      </c>
      <c r="B24" t="inlineStr">
        <is>
          <t>MASTERCLASS 2026 - Simpósio</t>
        </is>
      </c>
      <c r="C24" t="inlineStr">
        <is>
          <t>Sociedade</t>
        </is>
      </c>
      <c r="D24" t="inlineStr">
        <is>
          <t>Proposta Sociedade</t>
        </is>
      </c>
      <c r="F24" s="85" t="n"/>
      <c r="G24" t="n">
        <v>0</v>
      </c>
      <c r="H24" t="inlineStr">
        <is>
          <t>PENDENTE</t>
        </is>
      </c>
      <c r="K24" t="inlineStr">
        <is>
          <t>INDEFINIDO</t>
        </is>
      </c>
    </row>
    <row r="25">
      <c r="A25" t="n">
        <v>119</v>
      </c>
      <c r="B25" t="inlineStr">
        <is>
          <t>MASTERCLASS 2026 - Simpósio</t>
        </is>
      </c>
      <c r="C25" t="inlineStr">
        <is>
          <t>Buffet</t>
        </is>
      </c>
      <c r="D25" t="inlineStr">
        <is>
          <t>Solicitar Orçamento lunch box</t>
        </is>
      </c>
      <c r="F25" s="85" t="n"/>
      <c r="G25" t="n">
        <v>0</v>
      </c>
      <c r="H25" t="inlineStr">
        <is>
          <t>PENDENTE</t>
        </is>
      </c>
      <c r="K25" t="inlineStr">
        <is>
          <t>INDEFINIDO</t>
        </is>
      </c>
    </row>
    <row r="26">
      <c r="A26" t="n">
        <v>120</v>
      </c>
      <c r="B26" t="inlineStr">
        <is>
          <t>MASTERCLASS 2026 - Simpósio</t>
        </is>
      </c>
      <c r="C26" t="inlineStr">
        <is>
          <t>Staff</t>
        </is>
      </c>
      <c r="D26" t="inlineStr">
        <is>
          <t>Lista de staff participantes/ Escala</t>
        </is>
      </c>
      <c r="F26" s="85" t="n"/>
      <c r="G26" t="n">
        <v>0</v>
      </c>
      <c r="H26" t="inlineStr">
        <is>
          <t>PENDENTE</t>
        </is>
      </c>
      <c r="K26" t="inlineStr">
        <is>
          <t>INDEFINIDO</t>
        </is>
      </c>
    </row>
    <row r="27">
      <c r="A27" t="n">
        <v>121</v>
      </c>
      <c r="B27" t="inlineStr">
        <is>
          <t>MASTERCLASS 2026 - Simpósio</t>
        </is>
      </c>
      <c r="C27" t="inlineStr">
        <is>
          <t>Ag. Logística</t>
        </is>
      </c>
      <c r="D27" t="inlineStr">
        <is>
          <t>Solicitar orçamento logística palestrantes</t>
        </is>
      </c>
      <c r="F27" s="85" t="n"/>
      <c r="G27" t="n">
        <v>0</v>
      </c>
      <c r="H27" t="inlineStr">
        <is>
          <t>PENDENTE</t>
        </is>
      </c>
      <c r="K27" t="inlineStr">
        <is>
          <t>INDEFINIDO</t>
        </is>
      </c>
    </row>
    <row r="28">
      <c r="A28" t="n">
        <v>122</v>
      </c>
      <c r="B28" t="inlineStr">
        <is>
          <t>MASTERCLASS 2026 - Simpósio</t>
        </is>
      </c>
      <c r="C28" t="inlineStr">
        <is>
          <t>Alinhamentos Finais</t>
        </is>
      </c>
      <c r="D28" t="inlineStr">
        <is>
          <t>Email Informações Gerais</t>
        </is>
      </c>
      <c r="F28" s="85" t="n"/>
      <c r="G28" t="n">
        <v>0</v>
      </c>
      <c r="H28" t="inlineStr">
        <is>
          <t>PENDENTE</t>
        </is>
      </c>
      <c r="K28" t="inlineStr">
        <is>
          <t>INDEFINIDO</t>
        </is>
      </c>
    </row>
    <row r="29">
      <c r="A29" t="n">
        <v>126</v>
      </c>
      <c r="B29" t="inlineStr">
        <is>
          <t>ABENEPI 2026</t>
        </is>
      </c>
      <c r="C29" t="inlineStr">
        <is>
          <t>Stand</t>
        </is>
      </c>
      <c r="D29" t="inlineStr">
        <is>
          <t>Documentação Prefeitura (RJ/Gramado)</t>
        </is>
      </c>
      <c r="F29" s="85" t="n"/>
      <c r="G29" t="n">
        <v>0</v>
      </c>
      <c r="H29" t="inlineStr">
        <is>
          <t>PENDENTE</t>
        </is>
      </c>
      <c r="I29" t="inlineStr">
        <is>
          <t>-</t>
        </is>
      </c>
      <c r="K29" t="inlineStr">
        <is>
          <t>INDEFINIDO</t>
        </is>
      </c>
    </row>
    <row r="30">
      <c r="A30" t="n">
        <v>127</v>
      </c>
      <c r="B30" t="inlineStr">
        <is>
          <t>ABENEPI 2026</t>
        </is>
      </c>
      <c r="C30" t="inlineStr">
        <is>
          <t>Buffet</t>
        </is>
      </c>
      <c r="D30" t="inlineStr">
        <is>
          <t>Solicitar Orçamento Stand</t>
        </is>
      </c>
      <c r="F30" s="85" t="n"/>
      <c r="G30" t="n">
        <v>0</v>
      </c>
      <c r="H30" t="inlineStr">
        <is>
          <t>PENDENTE</t>
        </is>
      </c>
      <c r="K30" t="inlineStr">
        <is>
          <t>INDEFINIDO</t>
        </is>
      </c>
    </row>
    <row r="31">
      <c r="A31" t="n">
        <v>128</v>
      </c>
      <c r="B31" t="inlineStr">
        <is>
          <t>ABENEPI 2026</t>
        </is>
      </c>
      <c r="C31" t="inlineStr">
        <is>
          <t>Staff</t>
        </is>
      </c>
      <c r="D31" t="inlineStr">
        <is>
          <t>Lista de staff participantes/ Escala</t>
        </is>
      </c>
      <c r="F31" s="85" t="n"/>
      <c r="G31" t="n">
        <v>0</v>
      </c>
      <c r="H31" t="inlineStr">
        <is>
          <t>PENDENTE</t>
        </is>
      </c>
      <c r="K31" t="inlineStr">
        <is>
          <t>INDEFINIDO</t>
        </is>
      </c>
    </row>
    <row r="32">
      <c r="A32" t="n">
        <v>89</v>
      </c>
      <c r="B32" t="inlineStr">
        <is>
          <t>CONASENS</t>
        </is>
      </c>
      <c r="C32" t="inlineStr">
        <is>
          <t>ENCARTE DE MATERIAL NAS BOLSAS</t>
        </is>
      </c>
      <c r="D32" t="inlineStr">
        <is>
          <t>1 lâmina - Propaganda ou similar, de produção própria, aprovada pelo CONASEMS</t>
        </is>
      </c>
      <c r="F32" s="85" t="n"/>
      <c r="G32" t="n">
        <v>0</v>
      </c>
      <c r="H32" t="inlineStr">
        <is>
          <t>PENDENTE</t>
        </is>
      </c>
      <c r="K32" t="inlineStr">
        <is>
          <t>INDEFINIDO</t>
        </is>
      </c>
    </row>
    <row r="33">
      <c r="A33" t="n">
        <v>88</v>
      </c>
      <c r="B33" t="inlineStr">
        <is>
          <t>CONASENS</t>
        </is>
      </c>
      <c r="C33" t="inlineStr">
        <is>
          <t>REALIZAÇÃO DE ATIVIDADE</t>
        </is>
      </c>
      <c r="D33" t="inlineStr">
        <is>
          <t>Ação promocional - No próprio Estande (se houver)</t>
        </is>
      </c>
      <c r="F33" s="85" t="n"/>
      <c r="G33" t="n">
        <v>0</v>
      </c>
      <c r="H33" t="inlineStr">
        <is>
          <t>PENDENTE</t>
        </is>
      </c>
      <c r="K33" t="inlineStr">
        <is>
          <t>INDEFINIDO</t>
        </is>
      </c>
    </row>
    <row r="34">
      <c r="A34" t="n">
        <v>87</v>
      </c>
      <c r="B34" t="inlineStr">
        <is>
          <t>CONASENS</t>
        </is>
      </c>
      <c r="C34" t="inlineStr">
        <is>
          <t>LOGOMARCA EM FUNDO DE PALCO PRINCIPAL</t>
        </is>
      </c>
      <c r="D34" t="inlineStr">
        <is>
          <t>logo Takeda</t>
        </is>
      </c>
      <c r="F34" s="85" t="n"/>
      <c r="G34" t="n">
        <v>0</v>
      </c>
      <c r="H34" t="inlineStr">
        <is>
          <t>PENDENTE</t>
        </is>
      </c>
      <c r="K34" t="inlineStr">
        <is>
          <t>INDEFINIDO</t>
        </is>
      </c>
    </row>
    <row r="35">
      <c r="A35" t="n">
        <v>86</v>
      </c>
      <c r="B35" t="inlineStr">
        <is>
          <t>CONASENS</t>
        </is>
      </c>
      <c r="C35" t="inlineStr">
        <is>
          <t>LOGOMARCA EM PÓRTICO DE ENTRADA</t>
        </is>
      </c>
      <c r="D35" t="inlineStr">
        <is>
          <t>logo Takeda</t>
        </is>
      </c>
      <c r="F35" s="85" t="n"/>
      <c r="G35" t="n">
        <v>0</v>
      </c>
      <c r="H35" t="inlineStr">
        <is>
          <t>PENDENTE</t>
        </is>
      </c>
      <c r="K35" t="inlineStr">
        <is>
          <t>INDEFINIDO</t>
        </is>
      </c>
    </row>
    <row r="36">
      <c r="A36" t="n">
        <v>40</v>
      </c>
      <c r="B36" t="inlineStr">
        <is>
          <t>BRAIN 2026</t>
        </is>
      </c>
      <c r="C36" t="inlineStr">
        <is>
          <t>Pós Evento</t>
        </is>
      </c>
      <c r="D36" t="inlineStr">
        <is>
          <t>Evidência de contrapartidas</t>
        </is>
      </c>
      <c r="F36" s="85" t="n"/>
      <c r="G36" t="n">
        <v>0</v>
      </c>
      <c r="H36" t="inlineStr">
        <is>
          <t>PENDENTE</t>
        </is>
      </c>
      <c r="K36" t="inlineStr">
        <is>
          <t>INDEFINIDO</t>
        </is>
      </c>
    </row>
    <row r="37">
      <c r="A37" t="n">
        <v>48</v>
      </c>
      <c r="B37" t="inlineStr">
        <is>
          <t>BRAIN 2026 - Simpósio</t>
        </is>
      </c>
      <c r="C37" t="inlineStr">
        <is>
          <t>Pós Evento</t>
        </is>
      </c>
      <c r="D37" t="inlineStr">
        <is>
          <t>Evidência de contrapartidas</t>
        </is>
      </c>
      <c r="F37" s="85" t="n"/>
      <c r="G37" t="n">
        <v>0</v>
      </c>
      <c r="H37" t="inlineStr">
        <is>
          <t>PENDENTE</t>
        </is>
      </c>
      <c r="K37" t="inlineStr">
        <is>
          <t>INDEFINIDO</t>
        </is>
      </c>
    </row>
    <row r="38">
      <c r="A38" t="n">
        <v>51</v>
      </c>
      <c r="B38" t="inlineStr">
        <is>
          <t>Board Review Albert Einstein</t>
        </is>
      </c>
      <c r="C38" t="inlineStr">
        <is>
          <t>Simpósio</t>
        </is>
      </c>
      <c r="D38" t="inlineStr">
        <is>
          <t>Contratos Palestrantes</t>
        </is>
      </c>
      <c r="F38" s="85" t="n"/>
      <c r="G38" t="n">
        <v>0</v>
      </c>
      <c r="H38" t="inlineStr">
        <is>
          <t>PENDENTE</t>
        </is>
      </c>
      <c r="K38" t="inlineStr">
        <is>
          <t>INDEFINIDO</t>
        </is>
      </c>
    </row>
    <row r="39">
      <c r="A39" t="n">
        <v>56</v>
      </c>
      <c r="B39" t="inlineStr">
        <is>
          <t>Board Review Albert Einstein</t>
        </is>
      </c>
      <c r="C39" t="inlineStr">
        <is>
          <t>Ag. Logística</t>
        </is>
      </c>
      <c r="D39" t="inlineStr">
        <is>
          <t>Coordenador</t>
        </is>
      </c>
      <c r="F39" s="85" t="n"/>
      <c r="G39" t="n">
        <v>0</v>
      </c>
      <c r="H39" t="inlineStr">
        <is>
          <t>PENDENTE</t>
        </is>
      </c>
      <c r="K39" t="inlineStr">
        <is>
          <t>INDEFINIDO</t>
        </is>
      </c>
    </row>
    <row r="40">
      <c r="A40" t="n">
        <v>57</v>
      </c>
      <c r="B40" t="inlineStr">
        <is>
          <t>Board Review Albert Einstein</t>
        </is>
      </c>
      <c r="C40" t="inlineStr">
        <is>
          <t>Alinhamentos Finais</t>
        </is>
      </c>
      <c r="D40" t="inlineStr">
        <is>
          <t>Email Informações Gerais</t>
        </is>
      </c>
      <c r="F40" s="85" t="n"/>
      <c r="G40" t="n">
        <v>0</v>
      </c>
      <c r="H40" t="inlineStr">
        <is>
          <t>PENDENTE</t>
        </is>
      </c>
      <c r="K40" t="inlineStr">
        <is>
          <t>INDEFINIDO</t>
        </is>
      </c>
    </row>
    <row r="41">
      <c r="A41" t="n">
        <v>58</v>
      </c>
      <c r="B41" t="inlineStr">
        <is>
          <t>Board Review Albert Einstein</t>
        </is>
      </c>
      <c r="C41" t="inlineStr">
        <is>
          <t>Pós Evento</t>
        </is>
      </c>
      <c r="D41" t="inlineStr">
        <is>
          <t>Evidência de contrapartidas</t>
        </is>
      </c>
      <c r="F41" s="85" t="n"/>
      <c r="G41" t="n">
        <v>0</v>
      </c>
      <c r="H41" t="inlineStr">
        <is>
          <t>PENDENTE</t>
        </is>
      </c>
      <c r="K41" t="inlineStr">
        <is>
          <t>INDEFINIDO</t>
        </is>
      </c>
    </row>
    <row r="42">
      <c r="A42" t="n">
        <v>62</v>
      </c>
      <c r="B42" t="inlineStr">
        <is>
          <t>Board Review Albert Einstein</t>
        </is>
      </c>
      <c r="C42" t="inlineStr">
        <is>
          <t>Sessão exclusiva no sistema de acesso ao Certificado, possibilidade de exibir um e-book, publicação 
científica ou uma aula gravada de 15' diretamente no sistema de acesso ao certificado do evento.</t>
        </is>
      </c>
      <c r="F42" s="85" t="n"/>
      <c r="G42" t="n">
        <v>0</v>
      </c>
      <c r="H42" t="inlineStr">
        <is>
          <t>PENDENTE</t>
        </is>
      </c>
      <c r="K42" t="inlineStr">
        <is>
          <t>INDEFINIDO</t>
        </is>
      </c>
    </row>
    <row r="43">
      <c r="A43" t="n">
        <v>63</v>
      </c>
      <c r="B43" t="inlineStr">
        <is>
          <t>Board Review Albert Einstein</t>
        </is>
      </c>
      <c r="C43" t="inlineStr">
        <is>
          <t>Menção honrosa na abertura oficial do evento</t>
        </is>
      </c>
      <c r="F43" s="85" t="n"/>
      <c r="G43" t="n">
        <v>0</v>
      </c>
      <c r="H43" t="inlineStr">
        <is>
          <t>PENDENTE</t>
        </is>
      </c>
      <c r="K43" t="inlineStr">
        <is>
          <t>INDEFINIDO</t>
        </is>
      </c>
    </row>
    <row r="44">
      <c r="A44" t="n">
        <v>64</v>
      </c>
      <c r="B44" t="inlineStr">
        <is>
          <t>Board Review Albert Einstein</t>
        </is>
      </c>
      <c r="C44" t="inlineStr">
        <is>
          <t>Liberação de acessos ao Evento - Participantes e Expositor (20 acessos)</t>
        </is>
      </c>
      <c r="F44" s="85" t="n"/>
      <c r="G44" t="n">
        <v>0</v>
      </c>
      <c r="H44" t="inlineStr">
        <is>
          <t>PENDENTE</t>
        </is>
      </c>
      <c r="K44" t="inlineStr">
        <is>
          <t>INDEFINIDO</t>
        </is>
      </c>
    </row>
    <row r="45">
      <c r="A45" t="n">
        <v>65</v>
      </c>
      <c r="B45" t="inlineStr">
        <is>
          <t>CONASENS</t>
        </is>
      </c>
      <c r="C45" t="inlineStr">
        <is>
          <t>Planejamento</t>
        </is>
      </c>
      <c r="D45" t="inlineStr">
        <is>
          <t>Briefing</t>
        </is>
      </c>
      <c r="F45" s="85" t="n"/>
      <c r="G45" t="n">
        <v>0</v>
      </c>
      <c r="H45" t="inlineStr">
        <is>
          <t>PENDENTE</t>
        </is>
      </c>
      <c r="K45" t="inlineStr">
        <is>
          <t>INDEFINIDO</t>
        </is>
      </c>
    </row>
    <row r="46">
      <c r="A46" t="n">
        <v>66</v>
      </c>
      <c r="B46" t="inlineStr">
        <is>
          <t>CONASENS</t>
        </is>
      </c>
      <c r="C46" t="inlineStr">
        <is>
          <t>VEEVA</t>
        </is>
      </c>
      <c r="D46" t="inlineStr">
        <is>
          <t>EM Cota</t>
        </is>
      </c>
      <c r="F46" s="85" t="n"/>
      <c r="G46" t="n">
        <v>0</v>
      </c>
      <c r="H46" t="inlineStr">
        <is>
          <t>PENDENTE</t>
        </is>
      </c>
      <c r="K46" t="inlineStr">
        <is>
          <t>INDEFINIDO</t>
        </is>
      </c>
    </row>
    <row r="47">
      <c r="A47" t="n">
        <v>67</v>
      </c>
      <c r="B47" t="inlineStr">
        <is>
          <t>CONASENS</t>
        </is>
      </c>
      <c r="C47" t="inlineStr">
        <is>
          <t>Simpósio</t>
        </is>
      </c>
      <c r="D47" t="inlineStr">
        <is>
          <t>Contratos Palestrantes</t>
        </is>
      </c>
      <c r="F47" s="85" t="n"/>
      <c r="G47" t="n">
        <v>0</v>
      </c>
      <c r="H47" t="inlineStr">
        <is>
          <t>PENDENTE</t>
        </is>
      </c>
      <c r="K47" t="inlineStr">
        <is>
          <t>INDEFINIDO</t>
        </is>
      </c>
    </row>
    <row r="48">
      <c r="A48" t="n">
        <v>68</v>
      </c>
      <c r="B48" t="inlineStr">
        <is>
          <t>CONASENS</t>
        </is>
      </c>
      <c r="C48" t="inlineStr">
        <is>
          <t>Sociedade</t>
        </is>
      </c>
      <c r="D48" t="inlineStr">
        <is>
          <t>Contrato (cota)</t>
        </is>
      </c>
      <c r="F48" s="85" t="n"/>
      <c r="G48" t="n">
        <v>0</v>
      </c>
      <c r="H48" t="inlineStr">
        <is>
          <t>PENDENTE</t>
        </is>
      </c>
      <c r="K48" t="inlineStr">
        <is>
          <t>INDEFINIDO</t>
        </is>
      </c>
    </row>
    <row r="49">
      <c r="A49" t="n">
        <v>69</v>
      </c>
      <c r="B49" t="inlineStr">
        <is>
          <t>CONASENS</t>
        </is>
      </c>
      <c r="C49" t="inlineStr">
        <is>
          <t>Stand</t>
        </is>
      </c>
      <c r="D49" t="inlineStr">
        <is>
          <t>Documentação Prefeitura (SP/RJ/Gramado)</t>
        </is>
      </c>
      <c r="F49" s="85" t="n"/>
      <c r="G49" t="n">
        <v>0</v>
      </c>
      <c r="H49" t="inlineStr">
        <is>
          <t>PENDENTE</t>
        </is>
      </c>
      <c r="K49" t="inlineStr">
        <is>
          <t>INDEFINIDO</t>
        </is>
      </c>
    </row>
    <row r="50">
      <c r="A50" t="n">
        <v>129</v>
      </c>
      <c r="B50" t="inlineStr">
        <is>
          <t>ABENEPI 2026</t>
        </is>
      </c>
      <c r="C50" t="inlineStr">
        <is>
          <t>Ag. Logística</t>
        </is>
      </c>
      <c r="D50" t="inlineStr">
        <is>
          <t>Coordenador</t>
        </is>
      </c>
      <c r="F50" s="85" t="n"/>
      <c r="G50" t="n">
        <v>0</v>
      </c>
      <c r="H50" t="inlineStr">
        <is>
          <t>PENDENTE</t>
        </is>
      </c>
      <c r="K50" t="inlineStr">
        <is>
          <t>INDEFINIDO</t>
        </is>
      </c>
    </row>
    <row r="51">
      <c r="A51" t="n">
        <v>70</v>
      </c>
      <c r="B51" t="inlineStr">
        <is>
          <t>CONASENS</t>
        </is>
      </c>
      <c r="C51" t="inlineStr">
        <is>
          <t>Simpósio</t>
        </is>
      </c>
      <c r="D51" t="inlineStr">
        <is>
          <t>Solicitar Orçamento buffet stand</t>
        </is>
      </c>
      <c r="F51" s="85" t="n"/>
      <c r="G51" t="n">
        <v>0</v>
      </c>
      <c r="H51" t="inlineStr">
        <is>
          <t>PENDENTE</t>
        </is>
      </c>
      <c r="K51" t="inlineStr">
        <is>
          <t>INDEFINIDO</t>
        </is>
      </c>
    </row>
    <row r="52">
      <c r="A52" t="n">
        <v>72</v>
      </c>
      <c r="B52" t="inlineStr">
        <is>
          <t>CONASENS</t>
        </is>
      </c>
      <c r="C52" t="inlineStr">
        <is>
          <t>Ag. Logística</t>
        </is>
      </c>
      <c r="D52" t="inlineStr">
        <is>
          <t>Coordenador</t>
        </is>
      </c>
      <c r="F52" s="85" t="n"/>
      <c r="G52" t="n">
        <v>0</v>
      </c>
      <c r="H52" t="inlineStr">
        <is>
          <t>PENDENTE</t>
        </is>
      </c>
      <c r="K52" t="inlineStr">
        <is>
          <t>INDEFINIDO</t>
        </is>
      </c>
    </row>
    <row r="53">
      <c r="A53" t="n">
        <v>73</v>
      </c>
      <c r="B53" t="inlineStr">
        <is>
          <t>CONASENS</t>
        </is>
      </c>
      <c r="C53" t="inlineStr">
        <is>
          <t>Alinhamentos Finais</t>
        </is>
      </c>
      <c r="D53" t="inlineStr">
        <is>
          <t>Email Informações Gerais</t>
        </is>
      </c>
      <c r="F53" s="85" t="n"/>
      <c r="G53" t="n">
        <v>0</v>
      </c>
      <c r="H53" t="inlineStr">
        <is>
          <t>PENDENTE</t>
        </is>
      </c>
      <c r="K53" t="inlineStr">
        <is>
          <t>INDEFINIDO</t>
        </is>
      </c>
    </row>
    <row r="54">
      <c r="A54" t="n">
        <v>74</v>
      </c>
      <c r="B54" t="inlineStr">
        <is>
          <t>CONASENS</t>
        </is>
      </c>
      <c r="C54" t="inlineStr">
        <is>
          <t>Pós Evento</t>
        </is>
      </c>
      <c r="D54" t="inlineStr">
        <is>
          <t>Evidência de contrapartidas</t>
        </is>
      </c>
      <c r="F54" s="85" t="n"/>
      <c r="G54" t="n">
        <v>0</v>
      </c>
      <c r="H54" t="inlineStr">
        <is>
          <t>PENDENTE</t>
        </is>
      </c>
      <c r="K54" t="inlineStr">
        <is>
          <t>INDEFINIDO</t>
        </is>
      </c>
    </row>
    <row r="55">
      <c r="A55" t="n">
        <v>75</v>
      </c>
      <c r="B55" t="inlineStr">
        <is>
          <t>CONASENS</t>
        </is>
      </c>
      <c r="C55" t="inlineStr">
        <is>
          <t>CONTRAPARTIDAS - Cota Ouro</t>
        </is>
      </c>
      <c r="F55" s="85" t="n"/>
      <c r="G55" t="n">
        <v>0</v>
      </c>
      <c r="H55" t="inlineStr">
        <is>
          <t>PENDENTE</t>
        </is>
      </c>
      <c r="K55" t="inlineStr">
        <is>
          <t>INDEFINIDO</t>
        </is>
      </c>
    </row>
    <row r="56">
      <c r="A56" t="n">
        <v>76</v>
      </c>
      <c r="B56" t="inlineStr">
        <is>
          <t>CONASENS</t>
        </is>
      </c>
      <c r="C56" t="inlineStr">
        <is>
          <t>Cota de Patrocínio</t>
        </is>
      </c>
      <c r="D56" t="inlineStr">
        <is>
          <t>130000</t>
        </is>
      </c>
      <c r="F56" s="85" t="n"/>
      <c r="G56" t="n">
        <v>0</v>
      </c>
      <c r="H56" t="inlineStr">
        <is>
          <t>PENDENTE</t>
        </is>
      </c>
      <c r="K56" t="inlineStr">
        <is>
          <t>INDEFINIDO</t>
        </is>
      </c>
    </row>
    <row r="57">
      <c r="A57" t="n">
        <v>77</v>
      </c>
      <c r="B57" t="inlineStr">
        <is>
          <t>CONASENS</t>
        </is>
      </c>
      <c r="C57" t="inlineStr">
        <is>
          <t>Stand</t>
        </is>
      </c>
      <c r="D57" t="inlineStr">
        <is>
          <t>24m²</t>
        </is>
      </c>
      <c r="F57" s="85" t="n"/>
      <c r="G57" t="n">
        <v>0</v>
      </c>
      <c r="H57" t="inlineStr">
        <is>
          <t>PENDENTE</t>
        </is>
      </c>
      <c r="K57" t="inlineStr">
        <is>
          <t>INDEFINIDO</t>
        </is>
      </c>
    </row>
    <row r="58">
      <c r="A58" t="n">
        <v>78</v>
      </c>
      <c r="B58" t="inlineStr">
        <is>
          <t>CONASENS</t>
        </is>
      </c>
      <c r="C58" t="inlineStr">
        <is>
          <t>Credenciais Staff</t>
        </is>
      </c>
      <c r="D58" t="inlineStr">
        <is>
          <t>4 unidades</t>
        </is>
      </c>
      <c r="F58" s="85" t="n"/>
      <c r="G58" t="n">
        <v>0</v>
      </c>
      <c r="H58" t="inlineStr">
        <is>
          <t>PENDENTE</t>
        </is>
      </c>
      <c r="K58" t="inlineStr">
        <is>
          <t>INDEFINIDO</t>
        </is>
      </c>
    </row>
    <row r="59">
      <c r="A59" t="n">
        <v>79</v>
      </c>
      <c r="B59" t="inlineStr">
        <is>
          <t>CONASENS</t>
        </is>
      </c>
      <c r="C59" t="inlineStr">
        <is>
          <t>Credenciais Congressistas</t>
        </is>
      </c>
      <c r="D59" t="inlineStr">
        <is>
          <t>6 unidades</t>
        </is>
      </c>
      <c r="F59" s="85" t="n"/>
      <c r="G59" t="n">
        <v>0</v>
      </c>
      <c r="H59" t="inlineStr">
        <is>
          <t>PENDENTE</t>
        </is>
      </c>
      <c r="K59" t="inlineStr">
        <is>
          <t>INDEFINIDO</t>
        </is>
      </c>
    </row>
    <row r="60">
      <c r="A60" t="n">
        <v>80</v>
      </c>
      <c r="B60" t="inlineStr">
        <is>
          <t>CONASENS</t>
        </is>
      </c>
      <c r="C60" t="inlineStr">
        <is>
          <t>Bolsas Congresso</t>
        </is>
      </c>
      <c r="D60" t="inlineStr">
        <is>
          <t>10 unidades</t>
        </is>
      </c>
      <c r="F60" s="85" t="n"/>
      <c r="G60" t="n">
        <v>0</v>
      </c>
      <c r="H60" t="inlineStr">
        <is>
          <t>PENDENTE</t>
        </is>
      </c>
      <c r="K60" t="inlineStr">
        <is>
          <t>INDEFINIDO</t>
        </is>
      </c>
    </row>
    <row r="61">
      <c r="A61" t="n">
        <v>81</v>
      </c>
      <c r="B61" t="inlineStr">
        <is>
          <t>CONASENS</t>
        </is>
      </c>
      <c r="C61" t="inlineStr">
        <is>
          <t>LOGOMARCA EM HOTSITE</t>
        </is>
      </c>
      <c r="D61" t="inlineStr">
        <is>
          <t>logo Takeda - Com link para o site do Patrocinador</t>
        </is>
      </c>
      <c r="F61" s="85" t="n"/>
      <c r="G61" t="n">
        <v>0</v>
      </c>
      <c r="H61" t="inlineStr">
        <is>
          <t>PENDENTE</t>
        </is>
      </c>
      <c r="K61" t="inlineStr">
        <is>
          <t>INDEFINIDO</t>
        </is>
      </c>
    </row>
    <row r="62">
      <c r="A62" t="n">
        <v>82</v>
      </c>
      <c r="B62" t="inlineStr">
        <is>
          <t>CONASENS</t>
        </is>
      </c>
      <c r="C62" t="inlineStr">
        <is>
          <t>LOGOMARCA EM CARDS DE REDES SOCIAIS</t>
        </is>
      </c>
      <c r="D62" t="inlineStr">
        <is>
          <t>logo Takeda</t>
        </is>
      </c>
      <c r="F62" s="85" t="n"/>
      <c r="G62" t="n">
        <v>0</v>
      </c>
      <c r="H62" t="inlineStr">
        <is>
          <t>PENDENTE</t>
        </is>
      </c>
      <c r="K62" t="inlineStr">
        <is>
          <t>INDEFINIDO</t>
        </is>
      </c>
    </row>
    <row r="63">
      <c r="A63" t="n">
        <v>83</v>
      </c>
      <c r="B63" t="inlineStr">
        <is>
          <t>CONASENS</t>
        </is>
      </c>
      <c r="C63" t="inlineStr">
        <is>
          <t>PERÍODO DE DIVULGAÇÃO PRÉ-EVENTO</t>
        </is>
      </c>
      <c r="D63" t="inlineStr">
        <is>
          <t>até 8 meses - A depender da data da adesão</t>
        </is>
      </c>
      <c r="F63" s="85" t="n"/>
      <c r="G63" t="n">
        <v>0</v>
      </c>
      <c r="H63" t="inlineStr">
        <is>
          <t>PENDENTE</t>
        </is>
      </c>
      <c r="K63" t="inlineStr">
        <is>
          <t>INDEFINIDO</t>
        </is>
      </c>
    </row>
    <row r="64">
      <c r="A64" t="n">
        <v>84</v>
      </c>
      <c r="B64" t="inlineStr">
        <is>
          <t>CONASENS</t>
        </is>
      </c>
      <c r="C64" t="inlineStr">
        <is>
          <t>VÍDEO DE DIVULGAÇÃO NA FEIRA</t>
        </is>
      </c>
      <c r="D64" t="inlineStr">
        <is>
          <t>30 segundos - Em looping no painel de LED</t>
        </is>
      </c>
      <c r="F64" s="85" t="n"/>
      <c r="G64" t="n">
        <v>0</v>
      </c>
      <c r="H64" t="inlineStr">
        <is>
          <t>PENDENTE</t>
        </is>
      </c>
      <c r="K64" t="inlineStr">
        <is>
          <t>INDEFINIDO</t>
        </is>
      </c>
    </row>
    <row r="65">
      <c r="A65" t="n">
        <v>85</v>
      </c>
      <c r="B65" t="inlineStr">
        <is>
          <t>CONASENS</t>
        </is>
      </c>
      <c r="C65" t="inlineStr">
        <is>
          <t>LOGOMARCA EM TOTENS DE SALAS/AUDITÓRIOS</t>
        </is>
      </c>
      <c r="D65" t="inlineStr">
        <is>
          <t>logo Takeda</t>
        </is>
      </c>
      <c r="F65" s="85" t="n"/>
      <c r="G65" t="n">
        <v>0</v>
      </c>
      <c r="H65" t="inlineStr">
        <is>
          <t>PENDENTE</t>
        </is>
      </c>
      <c r="K65" t="inlineStr">
        <is>
          <t>INDEFINIDO</t>
        </is>
      </c>
    </row>
    <row r="66">
      <c r="A66" t="n">
        <v>71</v>
      </c>
      <c r="B66" t="inlineStr">
        <is>
          <t>CONASENS</t>
        </is>
      </c>
      <c r="C66" t="inlineStr">
        <is>
          <t>Staff</t>
        </is>
      </c>
      <c r="D66" t="inlineStr">
        <is>
          <t>Lista de staff participantes/ Escala</t>
        </is>
      </c>
      <c r="F66" s="85" t="n"/>
      <c r="G66" t="n">
        <v>0</v>
      </c>
      <c r="H66" t="inlineStr">
        <is>
          <t>PENDENTE</t>
        </is>
      </c>
      <c r="K66" t="inlineStr">
        <is>
          <t>INDEFINIDO</t>
        </is>
      </c>
    </row>
    <row r="67">
      <c r="A67" t="n">
        <v>130</v>
      </c>
      <c r="B67" t="inlineStr">
        <is>
          <t>ABENEPI 2026</t>
        </is>
      </c>
      <c r="C67" t="inlineStr">
        <is>
          <t>Alinhamentos Finais</t>
        </is>
      </c>
      <c r="D67" t="inlineStr">
        <is>
          <t>Email Informações Gerais</t>
        </is>
      </c>
      <c r="F67" s="85" t="n"/>
      <c r="G67" t="n">
        <v>0</v>
      </c>
      <c r="H67" t="inlineStr">
        <is>
          <t>PENDENTE</t>
        </is>
      </c>
      <c r="K67" t="inlineStr">
        <is>
          <t>INDEFINIDO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M16" sqref="M16:M19"/>
    </sheetView>
  </sheetViews>
  <sheetFormatPr baseColWidth="8" defaultRowHeight="15"/>
  <cols>
    <col width="5.140625" bestFit="1" customWidth="1" style="100" min="1" max="1"/>
    <col width="11.28515625" bestFit="1" customWidth="1" style="100" min="2" max="2"/>
    <col width="11.5703125" bestFit="1" customWidth="1" style="100" min="3" max="3"/>
    <col width="63.7109375" bestFit="1" customWidth="1" style="100" min="4" max="4"/>
    <col width="14.85546875" bestFit="1" customWidth="1" style="100" min="5" max="5"/>
    <col width="13.5703125" bestFit="1" customWidth="1" style="100" min="6" max="6"/>
    <col width="15.42578125" bestFit="1" customWidth="1" style="100" min="7" max="7"/>
    <col width="12" bestFit="1" customWidth="1" style="100" min="8" max="8"/>
    <col width="6.85546875" bestFit="1" customWidth="1" style="100" min="9" max="9"/>
    <col width="11.85546875" bestFit="1" customWidth="1" style="100" min="10" max="10"/>
    <col width="12.5703125" bestFit="1" customWidth="1" style="100" min="11" max="11"/>
    <col width="11" bestFit="1" customWidth="1" style="100" min="12" max="12"/>
    <col width="13.7109375" bestFit="1" customWidth="1" style="100" min="13" max="13"/>
    <col width="11.28515625" bestFit="1" customWidth="1" style="100" min="14" max="14"/>
    <col width="15" bestFit="1" customWidth="1" style="100" min="15" max="15"/>
    <col width="14.28515625" bestFit="1" customWidth="1" style="100" min="16" max="16"/>
    <col width="10.7109375" bestFit="1" customWidth="1" style="100" min="17" max="17"/>
    <col width="16.28515625" bestFit="1" customWidth="1" style="100" min="18" max="18"/>
    <col width="64.85546875" bestFit="1" customWidth="1" style="100" min="19" max="19"/>
    <col width="11" bestFit="1" customWidth="1" style="100" min="20" max="20"/>
    <col width="8.140625" bestFit="1" customWidth="1" style="100" min="21" max="21"/>
    <col width="46.42578125" bestFit="1" customWidth="1" style="100" min="22" max="22"/>
    <col width="8.28515625" bestFit="1" customWidth="1" style="100" min="23" max="23"/>
    <col width="11.140625" bestFit="1" customWidth="1" style="100" min="24" max="25"/>
    <col width="48.42578125" bestFit="1" customWidth="1" style="100" min="26" max="26"/>
    <col width="17" bestFit="1" customWidth="1" style="100" min="27" max="27"/>
    <col width="11.140625" bestFit="1" customWidth="1" style="100" min="28" max="28"/>
  </cols>
  <sheetData>
    <row r="1">
      <c r="A1" t="inlineStr">
        <is>
          <t>ID</t>
        </is>
      </c>
      <c r="B1" t="inlineStr">
        <is>
          <t>ID_Unico</t>
        </is>
      </c>
      <c r="C1" t="inlineStr">
        <is>
          <t>Flag</t>
        </is>
      </c>
      <c r="D1" t="inlineStr">
        <is>
          <t>Evento</t>
        </is>
      </c>
      <c r="E1" t="inlineStr">
        <is>
          <t>Tipo</t>
        </is>
      </c>
      <c r="F1" t="inlineStr">
        <is>
          <t>EM Original</t>
        </is>
      </c>
      <c r="G1" t="inlineStr">
        <is>
          <t>Status Evento</t>
        </is>
      </c>
      <c r="H1" t="inlineStr">
        <is>
          <t>Status EM</t>
        </is>
      </c>
      <c r="I1" t="inlineStr">
        <is>
          <t>Ano</t>
        </is>
      </c>
      <c r="J1" t="inlineStr">
        <is>
          <t>Trimestre</t>
        </is>
      </c>
      <c r="K1" t="inlineStr">
        <is>
          <t>Data Início</t>
        </is>
      </c>
      <c r="L1" t="inlineStr">
        <is>
          <t>Data Fim</t>
        </is>
      </c>
      <c r="M1" t="inlineStr">
        <is>
          <t>BU</t>
        </is>
      </c>
      <c r="N1" t="inlineStr">
        <is>
          <t>Produto</t>
        </is>
      </c>
      <c r="O1" t="inlineStr">
        <is>
          <t>Solicitante</t>
        </is>
      </c>
      <c r="P1" t="inlineStr">
        <is>
          <t>Cidade</t>
        </is>
      </c>
      <c r="Q1" t="inlineStr">
        <is>
          <t>Formato</t>
        </is>
      </c>
      <c r="R1" t="inlineStr">
        <is>
          <t>Complexidade</t>
        </is>
      </c>
      <c r="S1" t="inlineStr">
        <is>
          <t>Local</t>
        </is>
      </c>
      <c r="T1" t="inlineStr">
        <is>
          <t>Agência</t>
        </is>
      </c>
      <c r="U1" t="inlineStr">
        <is>
          <t>Hotel</t>
        </is>
      </c>
      <c r="V1" t="inlineStr">
        <is>
          <t>Sociedade</t>
        </is>
      </c>
      <c r="W1" t="inlineStr">
        <is>
          <t>Stand</t>
        </is>
      </c>
      <c r="X1" t="inlineStr">
        <is>
          <t>PSs Plan.</t>
        </is>
      </c>
      <c r="Y1" t="inlineStr">
        <is>
          <t>PSs Pres.</t>
        </is>
      </c>
      <c r="Z1" t="inlineStr">
        <is>
          <t>Observações</t>
        </is>
      </c>
      <c r="AA1" t="inlineStr">
        <is>
          <t>Dias até Evento</t>
        </is>
      </c>
      <c r="AB1" t="inlineStr">
        <is>
          <t>Urgência</t>
        </is>
      </c>
    </row>
    <row r="2">
      <c r="A2" t="n">
        <v>44</v>
      </c>
      <c r="B2" t="inlineStr">
        <is>
          <t>PENDENTE</t>
        </is>
      </c>
      <c r="D2" t="inlineStr">
        <is>
          <t>MASTERCLASS 2026 (Simpósio)</t>
        </is>
      </c>
      <c r="E2" t="inlineStr">
        <is>
          <t>Simpósio</t>
        </is>
      </c>
      <c r="F2" t="inlineStr">
        <is>
          <t>Pendente</t>
        </is>
      </c>
      <c r="G2" t="inlineStr">
        <is>
          <t>a Realizar</t>
        </is>
      </c>
      <c r="H2" t="inlineStr">
        <is>
          <t>pendente</t>
        </is>
      </c>
      <c r="I2" t="inlineStr">
        <is>
          <t>2026</t>
        </is>
      </c>
      <c r="J2" t="inlineStr">
        <is>
          <t>Q3 2026</t>
        </is>
      </c>
      <c r="K2" s="85" t="n"/>
      <c r="L2" s="85" t="n"/>
      <c r="M2" t="inlineStr">
        <is>
          <t>Neurociências</t>
        </is>
      </c>
      <c r="N2" t="inlineStr">
        <is>
          <t>Juneve</t>
        </is>
      </c>
      <c r="O2" t="inlineStr">
        <is>
          <t>Pablo Oliveira</t>
        </is>
      </c>
      <c r="P2" t="inlineStr">
        <is>
          <t>São Paulo</t>
        </is>
      </c>
      <c r="Q2" t="inlineStr">
        <is>
          <t>Hibrido</t>
        </is>
      </c>
      <c r="R2" t="inlineStr">
        <is>
          <t>Média</t>
        </is>
      </c>
      <c r="S2" t="inlineStr">
        <is>
          <t>Frei Caneca - Pavilhão 5</t>
        </is>
      </c>
      <c r="T2" t="inlineStr">
        <is>
          <t>Incentivare</t>
        </is>
      </c>
      <c r="W2" t="inlineStr">
        <is>
          <t>-</t>
        </is>
      </c>
      <c r="AB2" t="inlineStr">
        <is>
          <t>Sem data</t>
        </is>
      </c>
    </row>
    <row r="3">
      <c r="A3" t="n">
        <v>50</v>
      </c>
      <c r="B3" t="inlineStr">
        <is>
          <t>PENDENTE</t>
        </is>
      </c>
      <c r="D3" t="inlineStr">
        <is>
          <t>WEBINAR</t>
        </is>
      </c>
      <c r="E3" t="inlineStr">
        <is>
          <t>TOME/Advisory</t>
        </is>
      </c>
      <c r="F3" t="inlineStr">
        <is>
          <t>Pendente</t>
        </is>
      </c>
      <c r="G3" t="inlineStr">
        <is>
          <t>a Realizar</t>
        </is>
      </c>
      <c r="H3" t="inlineStr">
        <is>
          <t>pendente</t>
        </is>
      </c>
      <c r="I3" t="inlineStr">
        <is>
          <t>2026</t>
        </is>
      </c>
      <c r="K3" s="85" t="n"/>
      <c r="L3" s="85" t="n"/>
      <c r="M3" t="inlineStr">
        <is>
          <t>Neurociências</t>
        </is>
      </c>
      <c r="N3" t="inlineStr">
        <is>
          <t>Juneve</t>
        </is>
      </c>
      <c r="O3" t="inlineStr">
        <is>
          <t>Pablo Oliveira</t>
        </is>
      </c>
      <c r="P3" t="inlineStr">
        <is>
          <t>Virtual</t>
        </is>
      </c>
      <c r="Q3" t="inlineStr">
        <is>
          <t>Virtual</t>
        </is>
      </c>
      <c r="R3" t="inlineStr">
        <is>
          <t>Média</t>
        </is>
      </c>
      <c r="T3" t="inlineStr">
        <is>
          <t>Incentivare</t>
        </is>
      </c>
      <c r="W3" t="inlineStr">
        <is>
          <t>-</t>
        </is>
      </c>
      <c r="AB3" t="inlineStr">
        <is>
          <t>Sem data</t>
        </is>
      </c>
    </row>
    <row r="4">
      <c r="A4" t="n">
        <v>51</v>
      </c>
      <c r="B4" t="inlineStr">
        <is>
          <t>PENDENTE</t>
        </is>
      </c>
      <c r="D4" t="inlineStr">
        <is>
          <t>WEBINAR</t>
        </is>
      </c>
      <c r="E4" t="inlineStr">
        <is>
          <t>TOME/Advisory</t>
        </is>
      </c>
      <c r="F4" t="inlineStr">
        <is>
          <t>Pendente</t>
        </is>
      </c>
      <c r="G4" t="inlineStr">
        <is>
          <t>a Realizar</t>
        </is>
      </c>
      <c r="H4" t="inlineStr">
        <is>
          <t>pendente</t>
        </is>
      </c>
      <c r="I4" t="inlineStr">
        <is>
          <t>2026</t>
        </is>
      </c>
      <c r="K4" s="85" t="n"/>
      <c r="L4" s="85" t="n"/>
      <c r="M4" t="inlineStr">
        <is>
          <t>Neurociências</t>
        </is>
      </c>
      <c r="N4" t="inlineStr">
        <is>
          <t>Juneve</t>
        </is>
      </c>
      <c r="O4" t="inlineStr">
        <is>
          <t>Pablo Oliveira</t>
        </is>
      </c>
      <c r="P4" t="inlineStr">
        <is>
          <t>Virtual</t>
        </is>
      </c>
      <c r="Q4" t="inlineStr">
        <is>
          <t>Virtual</t>
        </is>
      </c>
      <c r="R4" t="inlineStr">
        <is>
          <t>Média</t>
        </is>
      </c>
      <c r="T4" t="inlineStr">
        <is>
          <t>Incentivare</t>
        </is>
      </c>
      <c r="W4" t="inlineStr">
        <is>
          <t>-</t>
        </is>
      </c>
      <c r="AB4" t="inlineStr">
        <is>
          <t>Sem data</t>
        </is>
      </c>
    </row>
    <row r="5">
      <c r="A5" t="n">
        <v>39</v>
      </c>
      <c r="B5" t="inlineStr">
        <is>
          <t>EM-036324</t>
        </is>
      </c>
      <c r="D5" t="inlineStr">
        <is>
          <t>Board Review: XX Curso de Revisão em Hematologia e Hemoterapia</t>
        </is>
      </c>
      <c r="E5" t="inlineStr">
        <is>
          <t>Cota</t>
        </is>
      </c>
      <c r="F5" t="inlineStr">
        <is>
          <t>EM-036324</t>
        </is>
      </c>
      <c r="G5" t="inlineStr">
        <is>
          <t>a Realizar</t>
        </is>
      </c>
      <c r="H5" t="inlineStr">
        <is>
          <t>aprovada</t>
        </is>
      </c>
      <c r="I5" t="inlineStr">
        <is>
          <t>2026</t>
        </is>
      </c>
      <c r="J5" t="inlineStr">
        <is>
          <t>Q2 2026</t>
        </is>
      </c>
      <c r="K5" s="85" t="n">
        <v>46198</v>
      </c>
      <c r="L5" s="85" t="n">
        <v>46200</v>
      </c>
      <c r="M5" t="inlineStr">
        <is>
          <t>Acesso</t>
        </is>
      </c>
      <c r="N5" t="inlineStr">
        <is>
          <t>Adcetris</t>
        </is>
      </c>
      <c r="O5" t="inlineStr">
        <is>
          <t>Carla Gonçalves</t>
        </is>
      </c>
      <c r="P5" t="inlineStr">
        <is>
          <t>São Paulo</t>
        </is>
      </c>
      <c r="Q5" t="inlineStr">
        <is>
          <t>Presencial</t>
        </is>
      </c>
      <c r="R5" t="inlineStr">
        <is>
          <t>Baixa</t>
        </is>
      </c>
      <c r="S5" t="inlineStr">
        <is>
          <t>Hospital Albert Einstein</t>
        </is>
      </c>
      <c r="T5" t="inlineStr">
        <is>
          <t>OPUS</t>
        </is>
      </c>
      <c r="U5" t="inlineStr">
        <is>
          <t>-</t>
        </is>
      </c>
      <c r="V5" t="inlineStr">
        <is>
          <t>Hospital Albert Einstein</t>
        </is>
      </c>
      <c r="W5" t="inlineStr">
        <is>
          <t>4m²</t>
        </is>
      </c>
      <c r="AA5" t="n">
        <v>3</v>
      </c>
      <c r="AB5" t="inlineStr">
        <is>
          <t>CRÍTICO</t>
        </is>
      </c>
    </row>
    <row r="6">
      <c r="A6" t="n">
        <v>40</v>
      </c>
      <c r="B6" t="inlineStr">
        <is>
          <t>EM-036270</t>
        </is>
      </c>
      <c r="D6" t="inlineStr">
        <is>
          <t>CONASENS</t>
        </is>
      </c>
      <c r="E6" t="inlineStr">
        <is>
          <t>Cota</t>
        </is>
      </c>
      <c r="F6" t="inlineStr">
        <is>
          <t>EM-036270</t>
        </is>
      </c>
      <c r="G6" t="inlineStr">
        <is>
          <t>a Realizar</t>
        </is>
      </c>
      <c r="H6" t="inlineStr">
        <is>
          <t>aprovada</t>
        </is>
      </c>
      <c r="I6" t="inlineStr">
        <is>
          <t>2026</t>
        </is>
      </c>
      <c r="J6" t="inlineStr">
        <is>
          <t>Q3 2026</t>
        </is>
      </c>
      <c r="K6" s="85" t="n">
        <v>46215</v>
      </c>
      <c r="L6" s="85" t="n">
        <v>46218</v>
      </c>
      <c r="M6" t="inlineStr">
        <is>
          <t>Acesso</t>
        </is>
      </c>
      <c r="N6" t="inlineStr">
        <is>
          <t>Gov. Affairs</t>
        </is>
      </c>
      <c r="O6" t="inlineStr">
        <is>
          <t>Fabio Durante</t>
        </is>
      </c>
      <c r="P6" t="inlineStr">
        <is>
          <t>Porto Alegre</t>
        </is>
      </c>
      <c r="Q6" t="inlineStr">
        <is>
          <t>Presencial</t>
        </is>
      </c>
      <c r="R6" t="inlineStr">
        <is>
          <t>Média</t>
        </is>
      </c>
      <c r="S6" t="inlineStr">
        <is>
          <t>Centro de Eventos FIERGS
Av. Assis Brasil, 8787 - Sarandi, Porto Alegre</t>
        </is>
      </c>
      <c r="T6" t="inlineStr">
        <is>
          <t>OPUS</t>
        </is>
      </c>
      <c r="W6" t="inlineStr">
        <is>
          <t>24m²</t>
        </is>
      </c>
      <c r="Z6" t="inlineStr">
        <is>
          <t>Cota Ouro</t>
        </is>
      </c>
      <c r="AA6" t="n">
        <v>20</v>
      </c>
      <c r="AB6" t="inlineStr">
        <is>
          <t>ATENÇÃO</t>
        </is>
      </c>
    </row>
    <row r="7">
      <c r="A7" t="n">
        <v>41</v>
      </c>
      <c r="B7" t="inlineStr">
        <is>
          <t>EM-035706</t>
        </is>
      </c>
      <c r="D7" t="inlineStr">
        <is>
          <t>APRENDER CRIANÇA</t>
        </is>
      </c>
      <c r="E7" t="inlineStr">
        <is>
          <t>Cota</t>
        </is>
      </c>
      <c r="F7" t="inlineStr">
        <is>
          <t>EM-035706</t>
        </is>
      </c>
      <c r="G7" t="inlineStr">
        <is>
          <t>a Realizar</t>
        </is>
      </c>
      <c r="H7" t="inlineStr">
        <is>
          <t>aprovada</t>
        </is>
      </c>
      <c r="I7" t="inlineStr">
        <is>
          <t>2026</t>
        </is>
      </c>
      <c r="J7" t="inlineStr">
        <is>
          <t>Q3 2026</t>
        </is>
      </c>
      <c r="K7" s="85" t="n">
        <v>46219</v>
      </c>
      <c r="L7" s="85" t="n">
        <v>46221</v>
      </c>
      <c r="M7" t="inlineStr">
        <is>
          <t>Neurociências</t>
        </is>
      </c>
      <c r="N7" t="inlineStr">
        <is>
          <t>Juneve</t>
        </is>
      </c>
      <c r="O7" t="inlineStr">
        <is>
          <t>Pablo Oliveira</t>
        </is>
      </c>
      <c r="P7" t="inlineStr">
        <is>
          <t>São Paulo</t>
        </is>
      </c>
      <c r="Q7" t="inlineStr">
        <is>
          <t>Presencial</t>
        </is>
      </c>
      <c r="R7" t="inlineStr">
        <is>
          <t>Baixa</t>
        </is>
      </c>
      <c r="S7" t="inlineStr">
        <is>
          <t>Distrito Anhembi - SP</t>
        </is>
      </c>
      <c r="T7" t="inlineStr">
        <is>
          <t>Incentivare</t>
        </is>
      </c>
      <c r="W7" t="inlineStr">
        <is>
          <t>-</t>
        </is>
      </c>
      <c r="X7" t="n">
        <v>0</v>
      </c>
      <c r="Z7" t="inlineStr">
        <is>
          <t>Recurso FY25 Cota 
https://aprendercrianca.com.br/</t>
        </is>
      </c>
      <c r="AA7" t="n">
        <v>24</v>
      </c>
      <c r="AB7" t="inlineStr">
        <is>
          <t>ATENÇÃO</t>
        </is>
      </c>
    </row>
    <row r="8">
      <c r="A8" t="n">
        <v>42</v>
      </c>
      <c r="B8" t="inlineStr">
        <is>
          <t>EM-036170</t>
        </is>
      </c>
      <c r="D8" t="inlineStr">
        <is>
          <t>APRENDER CRIANÇA</t>
        </is>
      </c>
      <c r="E8" t="inlineStr">
        <is>
          <t>Simpósio</t>
        </is>
      </c>
      <c r="F8" t="inlineStr">
        <is>
          <t>EM-036170</t>
        </is>
      </c>
      <c r="G8" t="inlineStr">
        <is>
          <t>a Realizar</t>
        </is>
      </c>
      <c r="H8" t="inlineStr">
        <is>
          <t>aprovada</t>
        </is>
      </c>
      <c r="I8" t="inlineStr">
        <is>
          <t>2026</t>
        </is>
      </c>
      <c r="J8" t="inlineStr">
        <is>
          <t>Q3 2026</t>
        </is>
      </c>
      <c r="K8" s="85" t="n">
        <v>46221</v>
      </c>
      <c r="L8" s="85" t="n">
        <v>46221</v>
      </c>
      <c r="M8" t="inlineStr">
        <is>
          <t>Neurociências</t>
        </is>
      </c>
      <c r="N8" t="inlineStr">
        <is>
          <t>Juneve</t>
        </is>
      </c>
      <c r="O8" t="inlineStr">
        <is>
          <t>Pablo Oliveira</t>
        </is>
      </c>
      <c r="P8" t="inlineStr">
        <is>
          <t>São Paulo</t>
        </is>
      </c>
      <c r="Q8" t="inlineStr">
        <is>
          <t>Presencial</t>
        </is>
      </c>
      <c r="R8" t="inlineStr">
        <is>
          <t>Média</t>
        </is>
      </c>
      <c r="S8" t="inlineStr">
        <is>
          <t>Distrito Anhembi - SP</t>
        </is>
      </c>
      <c r="T8" t="inlineStr">
        <is>
          <t>Incentivare</t>
        </is>
      </c>
      <c r="W8" t="inlineStr">
        <is>
          <t>-</t>
        </is>
      </c>
      <c r="X8" t="n">
        <v>800</v>
      </c>
      <c r="AA8" t="n">
        <v>26</v>
      </c>
      <c r="AB8" t="inlineStr">
        <is>
          <t>ATENÇÃO</t>
        </is>
      </c>
    </row>
    <row r="9">
      <c r="A9" t="n">
        <v>52</v>
      </c>
      <c r="B9" t="inlineStr">
        <is>
          <t>PENDENTE</t>
        </is>
      </c>
      <c r="D9" t="inlineStr">
        <is>
          <t>Advisory Board Fruzaqla</t>
        </is>
      </c>
      <c r="E9" t="inlineStr">
        <is>
          <t>TOME/Advisory</t>
        </is>
      </c>
      <c r="F9" t="inlineStr">
        <is>
          <t>Pendente</t>
        </is>
      </c>
      <c r="G9" t="inlineStr">
        <is>
          <t>a Realizar</t>
        </is>
      </c>
      <c r="H9" t="inlineStr">
        <is>
          <t>pendente</t>
        </is>
      </c>
      <c r="I9" t="inlineStr">
        <is>
          <t>2026</t>
        </is>
      </c>
      <c r="J9" t="inlineStr">
        <is>
          <t>Q3 2026</t>
        </is>
      </c>
      <c r="K9" s="85" t="n">
        <v>46239</v>
      </c>
      <c r="L9" s="85" t="n">
        <v>46239</v>
      </c>
      <c r="M9" t="inlineStr">
        <is>
          <t>Acesso</t>
        </is>
      </c>
      <c r="N9" t="inlineStr">
        <is>
          <t>Fruzaqla</t>
        </is>
      </c>
      <c r="O9" t="inlineStr">
        <is>
          <t>Thaís Senna</t>
        </is>
      </c>
      <c r="P9" t="inlineStr">
        <is>
          <t>São Paulo</t>
        </is>
      </c>
      <c r="Q9" t="inlineStr">
        <is>
          <t>Presencial</t>
        </is>
      </c>
      <c r="R9" t="inlineStr">
        <is>
          <t>Baixa</t>
        </is>
      </c>
      <c r="S9" t="inlineStr">
        <is>
          <t>Takeda</t>
        </is>
      </c>
      <c r="T9" t="inlineStr">
        <is>
          <t>OPUS</t>
        </is>
      </c>
      <c r="W9" t="inlineStr">
        <is>
          <t>-</t>
        </is>
      </c>
      <c r="X9" t="n">
        <v>10</v>
      </c>
      <c r="AA9" t="n">
        <v>44</v>
      </c>
      <c r="AB9" t="inlineStr">
        <is>
          <t>OK</t>
        </is>
      </c>
    </row>
    <row r="10">
      <c r="A10" t="n">
        <v>43</v>
      </c>
      <c r="B10" t="inlineStr">
        <is>
          <t>EM-035721</t>
        </is>
      </c>
      <c r="D10" t="inlineStr">
        <is>
          <t>MASTERCLASS 2026</t>
        </is>
      </c>
      <c r="E10" t="inlineStr">
        <is>
          <t>Cota</t>
        </is>
      </c>
      <c r="F10" t="inlineStr">
        <is>
          <t>EM-035721</t>
        </is>
      </c>
      <c r="G10" t="inlineStr">
        <is>
          <t>a Realizar</t>
        </is>
      </c>
      <c r="H10" t="inlineStr">
        <is>
          <t>solicitado</t>
        </is>
      </c>
      <c r="I10" t="inlineStr">
        <is>
          <t>2026</t>
        </is>
      </c>
      <c r="J10" t="inlineStr">
        <is>
          <t>Q3 2026</t>
        </is>
      </c>
      <c r="K10" s="85" t="n">
        <v>46275</v>
      </c>
      <c r="L10" s="85" t="n">
        <v>46277</v>
      </c>
      <c r="M10" t="inlineStr">
        <is>
          <t>Neurociências</t>
        </is>
      </c>
      <c r="N10" t="inlineStr">
        <is>
          <t>Juneve</t>
        </is>
      </c>
      <c r="O10" t="inlineStr">
        <is>
          <t>Pablo Oliveira</t>
        </is>
      </c>
      <c r="P10" t="inlineStr">
        <is>
          <t>São Paulo</t>
        </is>
      </c>
      <c r="Q10" t="inlineStr">
        <is>
          <t>Hibrido</t>
        </is>
      </c>
      <c r="R10" t="inlineStr">
        <is>
          <t>Alta</t>
        </is>
      </c>
      <c r="S10" t="inlineStr">
        <is>
          <t>Frei Caneca - Pavilhão 5</t>
        </is>
      </c>
      <c r="T10" t="inlineStr">
        <is>
          <t>Incentivare</t>
        </is>
      </c>
      <c r="W10" t="inlineStr">
        <is>
          <t>20m²</t>
        </is>
      </c>
      <c r="X10" t="n">
        <v>205</v>
      </c>
      <c r="Z10" t="inlineStr">
        <is>
          <t>https://cepp.org.br/eventos/</t>
        </is>
      </c>
      <c r="AA10" t="n">
        <v>80</v>
      </c>
      <c r="AB10" t="inlineStr">
        <is>
          <t>OK</t>
        </is>
      </c>
    </row>
    <row r="11">
      <c r="A11" t="n">
        <v>45</v>
      </c>
      <c r="B11" t="inlineStr">
        <is>
          <t>EM-036702</t>
        </is>
      </c>
      <c r="D11" t="inlineStr">
        <is>
          <t>MASTERCLASS 2026</t>
        </is>
      </c>
      <c r="E11" t="inlineStr">
        <is>
          <t>Apoio</t>
        </is>
      </c>
      <c r="F11" t="inlineStr">
        <is>
          <t>EM-036702</t>
        </is>
      </c>
      <c r="G11" t="inlineStr">
        <is>
          <t>a Realizar</t>
        </is>
      </c>
      <c r="H11" t="inlineStr">
        <is>
          <t>pendente</t>
        </is>
      </c>
      <c r="I11" t="inlineStr">
        <is>
          <t>2026</t>
        </is>
      </c>
      <c r="J11" t="inlineStr">
        <is>
          <t>Q3 2026</t>
        </is>
      </c>
      <c r="K11" s="85" t="n">
        <v>46275</v>
      </c>
      <c r="L11" s="85" t="n">
        <v>46277</v>
      </c>
      <c r="M11" t="inlineStr">
        <is>
          <t>Neurociências</t>
        </is>
      </c>
      <c r="N11" t="inlineStr">
        <is>
          <t>Juneve</t>
        </is>
      </c>
      <c r="O11" t="inlineStr">
        <is>
          <t>Pablo Oliveira</t>
        </is>
      </c>
      <c r="P11" t="inlineStr">
        <is>
          <t>São Paulo</t>
        </is>
      </c>
      <c r="Q11" t="inlineStr">
        <is>
          <t>Hibrido</t>
        </is>
      </c>
      <c r="R11" t="inlineStr">
        <is>
          <t>Média</t>
        </is>
      </c>
      <c r="S11" t="inlineStr">
        <is>
          <t>Frei Caneca - Pavilhão 5</t>
        </is>
      </c>
      <c r="T11" t="inlineStr">
        <is>
          <t>Incentivare</t>
        </is>
      </c>
      <c r="W11" t="inlineStr">
        <is>
          <t>-</t>
        </is>
      </c>
      <c r="AA11" t="n">
        <v>80</v>
      </c>
      <c r="AB11" t="inlineStr">
        <is>
          <t>OK</t>
        </is>
      </c>
    </row>
    <row r="12">
      <c r="A12" t="n">
        <v>46</v>
      </c>
      <c r="B12" t="inlineStr">
        <is>
          <t>EM-033785</t>
        </is>
      </c>
      <c r="C12" t="inlineStr">
        <is>
          <t>⚠️ EM dup.</t>
        </is>
      </c>
      <c r="D12" t="inlineStr">
        <is>
          <t>NEW FRONTIERS 2025 (COTA)</t>
        </is>
      </c>
      <c r="E12" t="inlineStr">
        <is>
          <t>Cota</t>
        </is>
      </c>
      <c r="F12" t="inlineStr">
        <is>
          <t>EM-033785</t>
        </is>
      </c>
      <c r="G12" t="inlineStr">
        <is>
          <t>a Realizar</t>
        </is>
      </c>
      <c r="I12" t="inlineStr">
        <is>
          <t>2025</t>
        </is>
      </c>
      <c r="J12" t="inlineStr">
        <is>
          <t>Q3 2025</t>
        </is>
      </c>
      <c r="K12" s="85" t="n">
        <v>46283</v>
      </c>
      <c r="L12" s="85" t="n">
        <v>46284</v>
      </c>
      <c r="M12" t="inlineStr">
        <is>
          <t>Neurociências</t>
        </is>
      </c>
      <c r="N12" t="inlineStr">
        <is>
          <t>Juneve</t>
        </is>
      </c>
      <c r="O12" t="inlineStr">
        <is>
          <t>Pablo Oliveira</t>
        </is>
      </c>
      <c r="P12" t="inlineStr">
        <is>
          <t>São Paulo</t>
        </is>
      </c>
      <c r="Q12" t="inlineStr">
        <is>
          <t>Virtual</t>
        </is>
      </c>
      <c r="R12" t="inlineStr">
        <is>
          <t>Média</t>
        </is>
      </c>
      <c r="S12" t="inlineStr">
        <is>
          <t>Virtual</t>
        </is>
      </c>
      <c r="T12" t="inlineStr">
        <is>
          <t>-</t>
        </is>
      </c>
      <c r="U12" t="inlineStr">
        <is>
          <t>-</t>
        </is>
      </c>
      <c r="V12" t="inlineStr">
        <is>
          <t>Instituto de Ciências Integradas, Cultura e Eventos</t>
        </is>
      </c>
      <c r="W12" t="inlineStr">
        <is>
          <t>N/A</t>
        </is>
      </c>
      <c r="Z12" t="inlineStr">
        <is>
          <t>EM-033762 Cancelada</t>
        </is>
      </c>
      <c r="AA12" t="n">
        <v>88</v>
      </c>
      <c r="AB12" t="inlineStr">
        <is>
          <t>OK</t>
        </is>
      </c>
    </row>
    <row r="13">
      <c r="A13" t="n">
        <v>47</v>
      </c>
      <c r="B13" t="inlineStr">
        <is>
          <t>EM-036028</t>
        </is>
      </c>
      <c r="C13" t="inlineStr">
        <is>
          <t>⚠️ EM dup.</t>
        </is>
      </c>
      <c r="D13" t="inlineStr">
        <is>
          <t>FORUM NACIONAL DE ACESSO GEDIIB BH</t>
        </is>
      </c>
      <c r="E13" t="inlineStr">
        <is>
          <t>Cota</t>
        </is>
      </c>
      <c r="F13" t="inlineStr">
        <is>
          <t>EM-036028</t>
        </is>
      </c>
      <c r="G13" t="inlineStr">
        <is>
          <t>a Realizar</t>
        </is>
      </c>
      <c r="H13" t="inlineStr">
        <is>
          <t>aprovada</t>
        </is>
      </c>
      <c r="I13" t="inlineStr">
        <is>
          <t>2026</t>
        </is>
      </c>
      <c r="J13" t="inlineStr">
        <is>
          <t>Q4 2026</t>
        </is>
      </c>
      <c r="K13" s="85" t="n">
        <v>46303</v>
      </c>
      <c r="L13" s="85" t="n">
        <v>46303</v>
      </c>
      <c r="M13" t="inlineStr">
        <is>
          <t>Acesso</t>
        </is>
      </c>
      <c r="N13" t="inlineStr">
        <is>
          <t>Entyvio</t>
        </is>
      </c>
      <c r="O13" t="inlineStr">
        <is>
          <t>Janaína Silva</t>
        </is>
      </c>
      <c r="P13" t="inlineStr">
        <is>
          <t>Belo Horizonte</t>
        </is>
      </c>
      <c r="Q13" t="inlineStr">
        <is>
          <t>Presencial</t>
        </is>
      </c>
      <c r="R13" t="inlineStr">
        <is>
          <t>Baixa</t>
        </is>
      </c>
      <c r="S13" t="inlineStr">
        <is>
          <t>Auditório da Gastroenterologia do Hospital UFMG</t>
        </is>
      </c>
      <c r="T13" t="inlineStr">
        <is>
          <t>OPUS</t>
        </is>
      </c>
      <c r="AA13" t="n">
        <v>108</v>
      </c>
      <c r="AB13" t="inlineStr">
        <is>
          <t>OK</t>
        </is>
      </c>
    </row>
    <row r="14">
      <c r="A14" t="n">
        <v>48</v>
      </c>
      <c r="B14" t="inlineStr">
        <is>
          <t>EM-035724</t>
        </is>
      </c>
      <c r="D14" t="inlineStr">
        <is>
          <t>ABENEPI - VIII Congresso Internacional &amp; XXVIII Brasileiro da ABENEPI</t>
        </is>
      </c>
      <c r="E14" t="inlineStr">
        <is>
          <t>Cota</t>
        </is>
      </c>
      <c r="F14" t="inlineStr">
        <is>
          <t>EM-035724</t>
        </is>
      </c>
      <c r="G14" t="inlineStr">
        <is>
          <t>a Realizar</t>
        </is>
      </c>
      <c r="H14" t="inlineStr">
        <is>
          <t>aprovada</t>
        </is>
      </c>
      <c r="I14" t="inlineStr">
        <is>
          <t>2026</t>
        </is>
      </c>
      <c r="J14" t="inlineStr">
        <is>
          <t>Q4 2026</t>
        </is>
      </c>
      <c r="K14" s="85" t="n">
        <v>46323</v>
      </c>
      <c r="L14" s="85" t="n">
        <v>46326</v>
      </c>
      <c r="M14" t="inlineStr">
        <is>
          <t>Neurociências</t>
        </is>
      </c>
      <c r="N14" t="inlineStr">
        <is>
          <t>Juneve</t>
        </is>
      </c>
      <c r="O14" t="inlineStr">
        <is>
          <t>Pablo Oliveira</t>
        </is>
      </c>
      <c r="P14" t="inlineStr">
        <is>
          <t>Natal</t>
        </is>
      </c>
      <c r="Q14" t="inlineStr">
        <is>
          <t>Presencial</t>
        </is>
      </c>
      <c r="R14" t="inlineStr">
        <is>
          <t>Média</t>
        </is>
      </c>
      <c r="S14" t="inlineStr">
        <is>
          <t>Centro de Convenções de Natal - Natal/RN</t>
        </is>
      </c>
      <c r="T14" t="inlineStr">
        <is>
          <t>Incentivare</t>
        </is>
      </c>
      <c r="W14" t="inlineStr">
        <is>
          <t>15m²</t>
        </is>
      </c>
      <c r="X14" t="n">
        <v>20</v>
      </c>
      <c r="Z14" t="inlineStr">
        <is>
          <t>https://congressoabenepi2026.com.br/</t>
        </is>
      </c>
      <c r="AA14" t="n">
        <v>128</v>
      </c>
      <c r="AB14" t="inlineStr">
        <is>
          <t>OK</t>
        </is>
      </c>
    </row>
    <row r="15">
      <c r="A15" t="n">
        <v>49</v>
      </c>
      <c r="B15" t="inlineStr">
        <is>
          <t>EM-035790</t>
        </is>
      </c>
      <c r="D15" t="inlineStr">
        <is>
          <t>ABENEPI - VIII Congresso Internacional &amp; XXVIII Brasileiro da ABENEPI</t>
        </is>
      </c>
      <c r="E15" t="inlineStr">
        <is>
          <t>Apoio</t>
        </is>
      </c>
      <c r="F15" t="inlineStr">
        <is>
          <t>EM-035790</t>
        </is>
      </c>
      <c r="G15" t="inlineStr">
        <is>
          <t>a Realizar</t>
        </is>
      </c>
      <c r="H15" t="inlineStr">
        <is>
          <t>solicitado</t>
        </is>
      </c>
      <c r="I15" t="inlineStr">
        <is>
          <t>2026</t>
        </is>
      </c>
      <c r="J15" t="inlineStr">
        <is>
          <t>Q4 2026</t>
        </is>
      </c>
      <c r="K15" s="85" t="n">
        <v>46323</v>
      </c>
      <c r="L15" s="85" t="n">
        <v>46326</v>
      </c>
      <c r="M15" t="inlineStr">
        <is>
          <t>Neurociências</t>
        </is>
      </c>
      <c r="N15" t="inlineStr">
        <is>
          <t>Juneve</t>
        </is>
      </c>
      <c r="O15" t="inlineStr">
        <is>
          <t>Pablo Oliveira</t>
        </is>
      </c>
      <c r="P15" t="inlineStr">
        <is>
          <t>Natal</t>
        </is>
      </c>
      <c r="Q15" t="inlineStr">
        <is>
          <t>Presencial</t>
        </is>
      </c>
      <c r="R15" t="inlineStr">
        <is>
          <t>Média</t>
        </is>
      </c>
      <c r="S15" t="inlineStr">
        <is>
          <t>Centro de Convenções de Natal - Natal/RN</t>
        </is>
      </c>
      <c r="T15" t="inlineStr">
        <is>
          <t>Incentivare</t>
        </is>
      </c>
      <c r="W15" t="inlineStr">
        <is>
          <t>-</t>
        </is>
      </c>
      <c r="AA15" t="n">
        <v>128</v>
      </c>
      <c r="AB15" t="inlineStr">
        <is>
          <t>OK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1F3864"/>
    <outlinePr summaryBelow="1" summaryRight="1"/>
    <pageSetUpPr/>
  </sheetPr>
  <dimension ref="B2:O33"/>
  <sheetViews>
    <sheetView showGridLines="0" topLeftCell="A2" workbookViewId="0">
      <selection activeCell="I20" sqref="I20"/>
    </sheetView>
  </sheetViews>
  <sheetFormatPr baseColWidth="8" defaultRowHeight="15"/>
  <cols>
    <col width="2" customWidth="1" style="100" min="1" max="1"/>
    <col width="27" customWidth="1" style="100" min="2" max="2"/>
    <col width="11" customWidth="1" style="100" min="3" max="3"/>
    <col width="10.140625" bestFit="1" customWidth="1" style="100" min="4" max="4"/>
    <col width="14" customWidth="1" style="100" min="5" max="5"/>
    <col width="18.42578125" bestFit="1" customWidth="1" style="100" min="6" max="6"/>
    <col width="3.5703125" bestFit="1" customWidth="1" style="100" min="7" max="7"/>
    <col width="11.5703125" customWidth="1" style="100" min="8" max="8"/>
    <col width="10.42578125" customWidth="1" style="100" min="9" max="9"/>
    <col width="14" customWidth="1" style="100" min="10" max="10"/>
    <col width="8.140625" customWidth="1" style="100" min="11" max="11"/>
    <col width="12" customWidth="1" style="100" min="12" max="12"/>
    <col width="11" customWidth="1" style="100" min="13" max="13"/>
    <col width="14" customWidth="1" style="100" min="14" max="15"/>
  </cols>
  <sheetData>
    <row r="1" ht="9.949999999999999" customHeight="1" s="100"/>
    <row r="2" ht="39.95" customHeight="1" s="100">
      <c r="B2" s="72" t="inlineStr">
        <is>
          <t>📊 DASHBOARD EXECUTIVO · v4 · Fase 3</t>
        </is>
      </c>
    </row>
    <row r="3" ht="18" customHeight="1" s="100">
      <c r="B3" s="128" t="inlineStr">
        <is>
          <t>Atualizado: 22/06/2026  ·  Alertas visuais ativos nas abas DB_  ·  Ver ⚡ ALERTAS para lista de pendências</t>
        </is>
      </c>
    </row>
    <row r="4" ht="5.25" customHeight="1" s="100">
      <c r="B4" s="129" t="n"/>
    </row>
    <row r="5" ht="28.5" customFormat="1" customHeight="1" s="127">
      <c r="B5" s="120" t="inlineStr">
        <is>
          <t>TOTAL
EVENTOS</t>
        </is>
      </c>
      <c r="D5" s="122" t="inlineStr">
        <is>
          <t>EVENTOS
2026</t>
        </is>
      </c>
      <c r="F5" s="123" t="inlineStr">
        <is>
          <t>A
REALIZAR</t>
        </is>
      </c>
      <c r="H5" s="124" t="inlineStr">
        <is>
          <t>REALIZADOS</t>
        </is>
      </c>
      <c r="J5" s="125" t="inlineStr">
        <is>
          <t>PENDENTES</t>
        </is>
      </c>
      <c r="L5" s="126" t="inlineStr">
        <is>
          <t>BUDGET</t>
        </is>
      </c>
    </row>
    <row r="6" ht="50.1" customHeight="1" s="100">
      <c r="B6" s="114" t="n">
        <v>52</v>
      </c>
      <c r="D6" s="115" t="n">
        <v>21</v>
      </c>
      <c r="F6" s="116" t="n">
        <v>14</v>
      </c>
      <c r="H6" s="117" t="n">
        <v>38</v>
      </c>
      <c r="J6" s="118" t="n">
        <v>78</v>
      </c>
      <c r="L6" s="119" t="inlineStr">
        <is>
          <t>R$ 3.2M</t>
        </is>
      </c>
    </row>
    <row r="8">
      <c r="B8" s="70" t="inlineStr">
        <is>
          <t>STATUS DOS EVENTOS</t>
        </is>
      </c>
      <c r="F8" s="66" t="inlineStr">
        <is>
          <t>POR BU</t>
        </is>
      </c>
      <c r="I8" s="74" t="inlineStr">
        <is>
          <t>TOP CIDADES</t>
        </is>
      </c>
      <c r="L8" s="73" t="inlineStr">
        <is>
          <t>PAGAMENTOS</t>
        </is>
      </c>
    </row>
    <row r="9">
      <c r="B9" s="29" t="inlineStr">
        <is>
          <t>Status</t>
        </is>
      </c>
      <c r="C9" s="29" t="inlineStr">
        <is>
          <t>Qtd</t>
        </is>
      </c>
      <c r="D9" s="29" t="inlineStr">
        <is>
          <t>%</t>
        </is>
      </c>
      <c r="F9" s="31" t="inlineStr">
        <is>
          <t>BU</t>
        </is>
      </c>
      <c r="G9" s="31" t="inlineStr">
        <is>
          <t>Qtd</t>
        </is>
      </c>
      <c r="I9" s="33" t="inlineStr">
        <is>
          <t>Cidade</t>
        </is>
      </c>
      <c r="J9" s="33" t="inlineStr">
        <is>
          <t>Qtd</t>
        </is>
      </c>
      <c r="L9" s="32" t="inlineStr">
        <is>
          <t>Status</t>
        </is>
      </c>
      <c r="M9" s="32" t="inlineStr">
        <is>
          <t>Qtd</t>
        </is>
      </c>
    </row>
    <row r="10">
      <c r="B10" s="11" t="inlineStr">
        <is>
          <t>Realizado</t>
        </is>
      </c>
      <c r="C10" s="11" t="n">
        <v>38</v>
      </c>
      <c r="D10" s="11" t="inlineStr">
        <is>
          <t>73%</t>
        </is>
      </c>
      <c r="F10" s="76" t="inlineStr">
        <is>
          <t>Neurociências</t>
        </is>
      </c>
      <c r="G10" s="11" t="n">
        <v>40</v>
      </c>
      <c r="I10" s="76" t="inlineStr">
        <is>
          <t>São Paulo</t>
        </is>
      </c>
      <c r="J10" s="11" t="n">
        <v>30</v>
      </c>
      <c r="L10" s="76" t="inlineStr">
        <is>
          <t>Pago</t>
        </is>
      </c>
      <c r="M10" s="11" t="n">
        <v>11</v>
      </c>
    </row>
    <row r="11">
      <c r="B11" s="14" t="inlineStr">
        <is>
          <t>a Realizar</t>
        </is>
      </c>
      <c r="C11" s="14" t="n">
        <v>14</v>
      </c>
      <c r="D11" s="14" t="inlineStr">
        <is>
          <t>27%</t>
        </is>
      </c>
      <c r="F11" s="77" t="inlineStr">
        <is>
          <t>Acesso</t>
        </is>
      </c>
      <c r="G11" s="14" t="n">
        <v>9</v>
      </c>
      <c r="I11" s="77" t="inlineStr">
        <is>
          <t>Virtual</t>
        </is>
      </c>
      <c r="J11" s="14" t="n">
        <v>4</v>
      </c>
      <c r="L11" s="77" t="inlineStr">
        <is>
          <t>Pós Evento</t>
        </is>
      </c>
      <c r="M11" s="14" t="n">
        <v>6</v>
      </c>
    </row>
    <row r="12">
      <c r="F12" s="76" t="inlineStr">
        <is>
          <t>NEC</t>
        </is>
      </c>
      <c r="G12" s="11" t="n">
        <v>1</v>
      </c>
      <c r="I12" s="76" t="inlineStr">
        <is>
          <t>Porto Alegre</t>
        </is>
      </c>
      <c r="J12" s="11" t="n">
        <v>4</v>
      </c>
      <c r="L12" s="76" t="inlineStr">
        <is>
          <t>aprovado</t>
        </is>
      </c>
      <c r="M12" s="11" t="n">
        <v>3</v>
      </c>
    </row>
    <row r="13" ht="24" customHeight="1" s="100">
      <c r="F13" s="77" t="inlineStr">
        <is>
          <t>Comunicação/Vacinas</t>
        </is>
      </c>
      <c r="G13" s="14" t="n">
        <v>1</v>
      </c>
      <c r="I13" s="77" t="inlineStr">
        <is>
          <t>Belo Horizonte</t>
        </is>
      </c>
      <c r="J13" s="14" t="n">
        <v>3</v>
      </c>
      <c r="L13" s="77" t="inlineStr">
        <is>
          <t>pago</t>
        </is>
      </c>
      <c r="M13" s="14" t="n">
        <v>1</v>
      </c>
    </row>
    <row r="14">
      <c r="B14" s="70" t="inlineStr">
        <is>
          <t>ATIVIDADES POR STATUS</t>
        </is>
      </c>
      <c r="F14" s="76" t="inlineStr">
        <is>
          <t>Raras</t>
        </is>
      </c>
      <c r="G14" s="11" t="n">
        <v>1</v>
      </c>
      <c r="I14" s="76" t="inlineStr">
        <is>
          <t>Fortaleza</t>
        </is>
      </c>
      <c r="J14" s="11" t="n">
        <v>3</v>
      </c>
      <c r="L14" s="76" t="inlineStr">
        <is>
          <t>Pendente</t>
        </is>
      </c>
      <c r="M14" s="11" t="n">
        <v>1</v>
      </c>
    </row>
    <row r="15">
      <c r="B15" s="29" t="inlineStr">
        <is>
          <t>Status</t>
        </is>
      </c>
      <c r="C15" s="29" t="inlineStr">
        <is>
          <t>Qtd</t>
        </is>
      </c>
      <c r="D15" s="29" t="inlineStr">
        <is>
          <t>%</t>
        </is>
      </c>
      <c r="I15" s="77" t="inlineStr">
        <is>
          <t>Brasília</t>
        </is>
      </c>
      <c r="J15" s="14" t="n">
        <v>2</v>
      </c>
    </row>
    <row r="16" ht="24" customHeight="1" s="100">
      <c r="B16" s="106" t="inlineStr">
        <is>
          <t>PENDENTE</t>
        </is>
      </c>
      <c r="C16" s="14" t="n">
        <v>78</v>
      </c>
      <c r="D16" s="14" t="inlineStr">
        <is>
          <t>60%</t>
        </is>
      </c>
      <c r="I16" s="76" t="inlineStr">
        <is>
          <t>Rio de Janeiro</t>
        </is>
      </c>
      <c r="J16" s="11" t="n">
        <v>2</v>
      </c>
    </row>
    <row r="17">
      <c r="B17" s="105" t="inlineStr">
        <is>
          <t>CONCLUÍDO</t>
        </is>
      </c>
      <c r="C17" s="11" t="n">
        <v>42</v>
      </c>
      <c r="D17" s="11" t="inlineStr">
        <is>
          <t>32%</t>
        </is>
      </c>
      <c r="I17" s="77" t="inlineStr">
        <is>
          <t>Natal</t>
        </is>
      </c>
      <c r="J17" s="14" t="n">
        <v>2</v>
      </c>
    </row>
    <row r="18">
      <c r="B18" s="106" t="inlineStr">
        <is>
          <t>ATRASO</t>
        </is>
      </c>
      <c r="C18" s="14" t="n">
        <v>3</v>
      </c>
      <c r="D18" s="14" t="inlineStr">
        <is>
          <t>2%</t>
        </is>
      </c>
    </row>
    <row r="19">
      <c r="B19" s="105" t="inlineStr">
        <is>
          <t>EM ANDAMENTO</t>
        </is>
      </c>
      <c r="C19" s="11" t="n">
        <v>1</v>
      </c>
      <c r="D19" s="11" t="inlineStr">
        <is>
          <t>1%</t>
        </is>
      </c>
    </row>
    <row r="22">
      <c r="B22" s="71" t="inlineStr">
        <is>
          <t>RESUMO FINANCEIRO</t>
        </is>
      </c>
    </row>
    <row r="23">
      <c r="B23" s="30" t="inlineStr">
        <is>
          <t>Evento</t>
        </is>
      </c>
      <c r="C23" s="30" t="inlineStr">
        <is>
          <t>Previsto</t>
        </is>
      </c>
      <c r="D23" s="30" t="inlineStr">
        <is>
          <t>Realizado</t>
        </is>
      </c>
    </row>
    <row r="24">
      <c r="B24" s="77" t="inlineStr">
        <is>
          <t>BRAIN 2026</t>
        </is>
      </c>
      <c r="C24" s="138" t="n">
        <v>1901259.83</v>
      </c>
      <c r="D24" s="138" t="n">
        <v>1704950.6</v>
      </c>
    </row>
    <row r="25">
      <c r="B25" s="76" t="inlineStr">
        <is>
          <t>FÓRUM ACESSO 2026</t>
        </is>
      </c>
      <c r="C25" s="139" t="n">
        <v>439745.92</v>
      </c>
      <c r="D25" s="139" t="n">
        <v>393487.89</v>
      </c>
    </row>
    <row r="26">
      <c r="B26" s="77" t="inlineStr">
        <is>
          <t>Masterclass</t>
        </is>
      </c>
      <c r="C26" s="138" t="n">
        <v>240000</v>
      </c>
      <c r="D26" s="138" t="n">
        <v>0</v>
      </c>
    </row>
    <row r="27">
      <c r="B27" s="76" t="inlineStr">
        <is>
          <t>CONASENS</t>
        </is>
      </c>
      <c r="C27" s="139" t="n">
        <v>149286</v>
      </c>
      <c r="D27" s="139" t="n">
        <v>130000</v>
      </c>
    </row>
    <row r="28">
      <c r="B28" s="77" t="inlineStr">
        <is>
          <t xml:space="preserve">XXIII Congresso Paulista de </t>
        </is>
      </c>
      <c r="C28" s="138" t="n">
        <v>147469.79</v>
      </c>
      <c r="D28" s="138" t="n">
        <v>146476.89</v>
      </c>
    </row>
    <row r="29">
      <c r="B29" s="76" t="inlineStr">
        <is>
          <t>BRAIN 2026 - Simpósio</t>
        </is>
      </c>
      <c r="C29" s="139" t="n">
        <v>141233.5</v>
      </c>
      <c r="D29" s="139" t="n">
        <v>144821.37</v>
      </c>
    </row>
    <row r="30">
      <c r="B30" s="77" t="inlineStr">
        <is>
          <t>APRENDER CRIANÇA</t>
        </is>
      </c>
      <c r="C30" s="138" t="n">
        <v>100000</v>
      </c>
      <c r="D30" s="138" t="n">
        <v>68000</v>
      </c>
    </row>
    <row r="31" ht="24" customHeight="1" s="100">
      <c r="B31" s="76" t="inlineStr">
        <is>
          <t>FORUM NACIONAL DE ACESSO GED</t>
        </is>
      </c>
      <c r="C31" s="139" t="n">
        <v>65000</v>
      </c>
      <c r="D31" s="139" t="n">
        <v>65000</v>
      </c>
    </row>
    <row r="32">
      <c r="B32" s="77" t="inlineStr">
        <is>
          <t>ABENEPI - VIII Congresso Int</t>
        </is>
      </c>
      <c r="C32" s="138" t="n">
        <v>49000</v>
      </c>
      <c r="D32" s="138" t="n">
        <v>49000</v>
      </c>
    </row>
    <row r="33">
      <c r="B33" s="76" t="inlineStr">
        <is>
          <t>CONASENS - TOME</t>
        </is>
      </c>
      <c r="C33" s="139" t="n">
        <v>0</v>
      </c>
      <c r="D33" s="139" t="n">
        <v>0</v>
      </c>
    </row>
  </sheetData>
  <mergeCells count="21">
    <mergeCell ref="B2:M2"/>
    <mergeCell ref="B14:D14"/>
    <mergeCell ref="J5:K5"/>
    <mergeCell ref="B8:D8"/>
    <mergeCell ref="F6:G6"/>
    <mergeCell ref="D6:E6"/>
    <mergeCell ref="H6:I6"/>
    <mergeCell ref="J6:K6"/>
    <mergeCell ref="F5:G5"/>
    <mergeCell ref="L5:M5"/>
    <mergeCell ref="L8:M8"/>
    <mergeCell ref="F8:G8"/>
    <mergeCell ref="I8:J8"/>
    <mergeCell ref="B4:M4"/>
    <mergeCell ref="B6:C6"/>
    <mergeCell ref="B3:M3"/>
    <mergeCell ref="L6:M6"/>
    <mergeCell ref="B22:D22"/>
    <mergeCell ref="B5:C5"/>
    <mergeCell ref="D5:E5"/>
    <mergeCell ref="H5:I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C4700E"/>
    <outlinePr summaryBelow="1" summaryRight="1"/>
    <pageSetUpPr/>
  </sheetPr>
  <dimension ref="B2:H102"/>
  <sheetViews>
    <sheetView showGridLines="0" workbookViewId="0">
      <selection activeCell="M19" sqref="M19"/>
    </sheetView>
  </sheetViews>
  <sheetFormatPr baseColWidth="8" defaultRowHeight="15"/>
  <cols>
    <col width="2" customWidth="1" style="100" min="1" max="1"/>
    <col width="43.5703125" customWidth="1" style="100" min="2" max="2"/>
    <col width="20" customWidth="1" style="100" min="3" max="8"/>
    <col width="2" customWidth="1" style="100" min="9" max="9"/>
  </cols>
  <sheetData>
    <row r="1" ht="9.949999999999999" customHeight="1" s="100"/>
    <row r="2" ht="36" customHeight="1" s="100">
      <c r="B2" s="67" t="inlineStr">
        <is>
          <t>⚡ PAINEL DE ALERTAS EM TEMPO REAL</t>
        </is>
      </c>
    </row>
    <row r="3" ht="18" customHeight="1" s="100">
      <c r="B3" s="55" t="inlineStr">
        <is>
          <t>Atualizado: 22/06/2026  ·  Formulas referenciam TblEventos / TblAtividades / TblFinanceiro  ·  Requer Excel 365 para FILTER</t>
        </is>
      </c>
    </row>
    <row r="5" ht="21.95" customHeight="1" s="100">
      <c r="B5" s="140" t="inlineStr">
        <is>
          <t>🔴 CRÍTICO — Requer ação imediata</t>
        </is>
      </c>
      <c r="C5" s="91" t="n"/>
      <c r="D5" s="91" t="n"/>
      <c r="E5" s="91" t="n"/>
      <c r="F5" s="91" t="n"/>
      <c r="G5" s="91" t="n"/>
      <c r="H5" s="92" t="n"/>
    </row>
    <row r="6" ht="20.1" customHeight="1" s="100">
      <c r="B6" s="88" t="inlineStr">
        <is>
          <t>Eventos VENCIDOS (a Realizar + data passada)</t>
        </is>
      </c>
      <c r="C6" s="110">
        <f>COUNTIFS(TblEventos[Status Evento],"a Realizar",TblEventos[Data Início],"&lt;"&amp;TODAY(),TblEventos[Data Início],"&lt;&gt;")</f>
        <v/>
      </c>
      <c r="D6" s="109" t="n"/>
    </row>
    <row r="7" ht="20.1" customHeight="1" s="100">
      <c r="B7" s="28" t="inlineStr">
        <is>
          <t>Atividades c/ PRAZO VENCIDO (PENDENTE + data&lt;hoje)</t>
        </is>
      </c>
      <c r="C7" s="111">
        <f>COUNTIFS(TblAtividades[Status],"PENDENTE",TblAtividades[Prazo],"&lt;"&amp;TODAY())</f>
        <v/>
      </c>
    </row>
    <row r="8" ht="20.1" customHeight="1" s="100">
      <c r="B8" s="28" t="inlineStr">
        <is>
          <t>Pagamentos PENDENTES (sem PO definido)</t>
        </is>
      </c>
      <c r="C8" s="111">
        <f>COUNTIF(TblFinanceiro[PO/WF],"Pendente")</f>
        <v/>
      </c>
    </row>
    <row r="9" ht="20.1" customHeight="1" s="100">
      <c r="B9" s="28" t="inlineStr">
        <is>
          <t>EMs DUPLICADOS detectados</t>
        </is>
      </c>
      <c r="C9" s="111">
        <f>COUNTIF(TblEventos[Flag],"*dup*")</f>
        <v/>
      </c>
    </row>
    <row r="11" ht="21.95" customHeight="1" s="100">
      <c r="B11" s="141" t="inlineStr">
        <is>
          <t>🟠 ATENÇÃO — Monitorar esta semana</t>
        </is>
      </c>
      <c r="C11" s="91" t="n"/>
      <c r="D11" s="91" t="n"/>
      <c r="E11" s="91" t="n"/>
      <c r="F11" s="91" t="n"/>
      <c r="G11" s="91" t="n"/>
      <c r="H11" s="92" t="n"/>
    </row>
    <row r="12" ht="20.1" customHeight="1" s="100">
      <c r="B12" s="88" t="inlineStr">
        <is>
          <t>Eventos nos próximos 7 dias</t>
        </is>
      </c>
      <c r="C12" s="110">
        <f>COUNTIFS(TblEventos[Status Evento],"a Realizar",TblEventos[Data Início],"&gt;="&amp;TODAY(),TblEventos[Data Início],"&lt;="&amp;(TODAY()+7))</f>
        <v/>
      </c>
    </row>
    <row r="13" ht="20.1" customHeight="1" s="100">
      <c r="B13" s="28" t="inlineStr">
        <is>
          <t>Atividades com prazo em 7 dias</t>
        </is>
      </c>
      <c r="C13" s="110">
        <f>COUNTIFS(TblAtividades[Status],"PENDENTE",TblAtividades[Prazo],"&gt;="&amp;TODAY(),TblAtividades[Prazo],"&lt;="&amp;(TODAY()+7))</f>
        <v/>
      </c>
    </row>
    <row r="14" ht="20.1" customHeight="1" s="100">
      <c r="B14" s="28" t="inlineStr">
        <is>
          <t>Atividades PENDENTES total</t>
        </is>
      </c>
      <c r="C14" s="110">
        <f>COUNTIF(TblAtividades[Status],"PENDENTE")</f>
        <v/>
      </c>
    </row>
    <row r="15" ht="20.1" customHeight="1" s="100">
      <c r="B15" s="28" t="inlineStr">
        <is>
          <t>NFs/Recibos a preencher</t>
        </is>
      </c>
      <c r="C15" s="110">
        <f>COUNTIF(TblFinanceiro[Status NF/ND],"A preencher")</f>
        <v/>
      </c>
    </row>
    <row r="17" ht="21.95" customHeight="1" s="100">
      <c r="B17" s="142" t="inlineStr">
        <is>
          <t>🟡 MONITORAR — Próximos 30 dias</t>
        </is>
      </c>
      <c r="C17" s="91" t="n"/>
      <c r="D17" s="91" t="n"/>
      <c r="E17" s="91" t="n"/>
      <c r="F17" s="91" t="n"/>
      <c r="G17" s="91" t="n"/>
      <c r="H17" s="92" t="n"/>
    </row>
    <row r="18" ht="20.1" customHeight="1" s="100">
      <c r="B18" s="88" t="inlineStr">
        <is>
          <t>Eventos nos próximos 30 dias</t>
        </is>
      </c>
      <c r="C18" s="110">
        <f>COUNTIFS(TblEventos[Status Evento],"a Realizar",TblEventos[Data Início],"&gt;="&amp;TODAY(),TblEventos[Data Início],"&lt;="&amp;(TODAY()+30))</f>
        <v/>
      </c>
    </row>
    <row r="19" ht="20.1" customHeight="1" s="100">
      <c r="B19" s="28" t="inlineStr">
        <is>
          <t>Atividades EM ANDAMENTO</t>
        </is>
      </c>
      <c r="C19" s="110">
        <f>COUNTIF(TblAtividades[Status],"EM ANDAMENTO")</f>
        <v/>
      </c>
    </row>
    <row r="20" ht="20.1" customHeight="1" s="100">
      <c r="B20" s="28" t="inlineStr">
        <is>
          <t>Eventos sem responsável (Solicitante vazio)</t>
        </is>
      </c>
      <c r="C20" s="110">
        <f>COUNTIF(TblEventos[Solicitante],"")</f>
        <v/>
      </c>
    </row>
    <row r="22" ht="21.95" customHeight="1" s="100">
      <c r="B22" s="143" t="inlineStr">
        <is>
          <t>💰 RESUMO FINANCEIRO</t>
        </is>
      </c>
      <c r="C22" s="91" t="n"/>
      <c r="D22" s="91" t="n"/>
      <c r="E22" s="91" t="n"/>
      <c r="F22" s="91" t="n"/>
      <c r="G22" s="91" t="n"/>
      <c r="H22" s="92" t="n"/>
    </row>
    <row r="23" ht="20.1" customHeight="1" s="100">
      <c r="B23" s="88" t="inlineStr">
        <is>
          <t>Budget total previsto</t>
        </is>
      </c>
      <c r="C23" s="144">
        <f>SUM(TblFinanceiro[Orç. Previsto])</f>
        <v/>
      </c>
    </row>
    <row r="24" ht="20.1" customHeight="1" s="100">
      <c r="B24" s="28" t="inlineStr">
        <is>
          <t>Total realizado FY2025</t>
        </is>
      </c>
      <c r="C24" s="144">
        <f>SUM(TblFinanceiro[Real. FY2025])</f>
        <v/>
      </c>
    </row>
    <row r="25" ht="20.1" customHeight="1" s="100">
      <c r="B25" s="28" t="inlineStr">
        <is>
          <t>Total realizado FY2026</t>
        </is>
      </c>
      <c r="C25" s="144">
        <f>SUM(TblFinanceiro[Real. FY2026])</f>
        <v/>
      </c>
    </row>
    <row r="26" ht="20.1" customHeight="1" s="100">
      <c r="B26" s="28" t="inlineStr">
        <is>
          <t>Pagamentos Pendentes (budget estimado)</t>
        </is>
      </c>
      <c r="C26" s="144">
        <f>SUMIF(TblFinanceiro[Status Pag.],"Pendente",TblFinanceiro[Orç. Previsto])</f>
        <v/>
      </c>
    </row>
    <row r="27" ht="20.1" customHeight="1" s="100">
      <c r="B27" s="28" t="inlineStr">
        <is>
          <t>% Budget executado (FY25+FY26)</t>
        </is>
      </c>
      <c r="C27" s="112">
        <f>IFERROR((SUM(TblFinanceiro[Real. FY2025])+SUM(TblFinanceiro[Real. FY2026]))/SUM(TblFinanceiro[Orç. Previsto]),0)</f>
        <v/>
      </c>
    </row>
    <row r="29" ht="21.95" customHeight="1" s="100">
      <c r="B29" s="70" t="inlineStr">
        <is>
          <t>📋 LISTAS DINÂMICAS — Requerem Excel 365 (função FILTER)</t>
        </is>
      </c>
    </row>
    <row r="30" ht="18" customHeight="1" s="100">
      <c r="B30" s="47" t="inlineStr">
        <is>
          <t>Se a fórmula mostrar #NOME? ou #VALOR!, seu Excel não suporta FILTER. Use os filtros nativos das tabelas DB_.</t>
        </is>
      </c>
    </row>
    <row r="32" ht="20.1" customHeight="1" s="100">
      <c r="B32" s="65" t="inlineStr">
        <is>
          <t>🔴 EVENTOS VENCIDOS (a Realizar com data passada)</t>
        </is>
      </c>
    </row>
    <row r="33">
      <c r="B33" s="62" t="n"/>
      <c r="C33" s="63" t="n"/>
      <c r="D33" s="63" t="n"/>
      <c r="E33" s="63" t="n"/>
      <c r="F33" s="63" t="n"/>
      <c r="G33" s="63" t="n"/>
      <c r="H33" s="64" t="n"/>
    </row>
    <row r="55" ht="20.1" customHeight="1" s="100">
      <c r="B55" s="61" t="inlineStr">
        <is>
          <t>🟠 EVENTOS PRÓXIMOS 30 DIAS</t>
        </is>
      </c>
    </row>
    <row r="56">
      <c r="B56" s="62" t="n"/>
      <c r="C56" s="63" t="n"/>
      <c r="D56" s="63" t="n"/>
      <c r="E56" s="63" t="n"/>
      <c r="F56" s="63" t="n"/>
      <c r="G56" s="63" t="n"/>
      <c r="H56" s="64" t="n"/>
    </row>
    <row r="78" ht="20.1" customHeight="1" s="100">
      <c r="B78" s="69" t="inlineStr">
        <is>
          <t>💰 PAGAMENTOS PENDENTES</t>
        </is>
      </c>
    </row>
    <row r="79">
      <c r="B79" s="62" t="n"/>
      <c r="C79" s="63" t="n"/>
      <c r="D79" s="63" t="n"/>
      <c r="E79" s="63" t="n"/>
      <c r="F79" s="63" t="n"/>
      <c r="G79" s="63" t="n"/>
      <c r="H79" s="64" t="n"/>
    </row>
    <row r="101" ht="20.1" customHeight="1" s="100">
      <c r="B101" s="68" t="inlineStr">
        <is>
          <t>✅ ATIVIDADES PENDENTES (amostra)</t>
        </is>
      </c>
    </row>
    <row r="102">
      <c r="B102" s="62" t="n"/>
      <c r="C102" s="63" t="n"/>
      <c r="D102" s="63" t="n"/>
      <c r="E102" s="63" t="n"/>
      <c r="F102" s="63" t="n"/>
      <c r="G102" s="63" t="n"/>
      <c r="H102" s="64" t="n"/>
    </row>
  </sheetData>
  <mergeCells count="16">
    <mergeCell ref="B101:H101"/>
    <mergeCell ref="B22:H22"/>
    <mergeCell ref="B32:H32"/>
    <mergeCell ref="B17:H17"/>
    <mergeCell ref="B56:H56"/>
    <mergeCell ref="B102:H102"/>
    <mergeCell ref="B79:H79"/>
    <mergeCell ref="B55:H55"/>
    <mergeCell ref="B30:H30"/>
    <mergeCell ref="B2:H2"/>
    <mergeCell ref="B78:H78"/>
    <mergeCell ref="B29:H29"/>
    <mergeCell ref="B33:H33"/>
    <mergeCell ref="B11:H11"/>
    <mergeCell ref="B3:H3"/>
    <mergeCell ref="B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E75B6"/>
    <outlinePr summaryBelow="1" summaryRight="1"/>
    <pageSetUpPr/>
  </sheetPr>
  <dimension ref="A1:M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L12" sqref="L12"/>
    </sheetView>
  </sheetViews>
  <sheetFormatPr baseColWidth="8" defaultRowHeight="15"/>
  <cols>
    <col width="34" customWidth="1" style="100" min="1" max="1"/>
    <col width="22" customWidth="1" style="100" min="2" max="2"/>
    <col width="18" customWidth="1" style="100" min="3" max="3"/>
    <col width="10" customWidth="1" style="100" min="4" max="4"/>
    <col width="14" customWidth="1" style="100" min="5" max="5"/>
    <col width="12" customWidth="1" style="100" min="6" max="8"/>
    <col width="14" customWidth="1" style="100" min="9" max="9"/>
    <col width="12" customWidth="1" style="100" min="10" max="10"/>
    <col width="16" customWidth="1" style="100" min="11" max="11"/>
    <col width="14" customWidth="1" style="100" min="12" max="12"/>
    <col width="30" customWidth="1" style="100" min="13" max="13"/>
  </cols>
  <sheetData>
    <row r="1" ht="27.95" customHeight="1" s="100">
      <c r="A1" s="75" t="inlineStr">
        <is>
          <t>✈️ CONTROLE DE PARTICIPAÇÃO E LOGÍSTICA</t>
        </is>
      </c>
    </row>
    <row r="2" ht="15.95" customHeight="1" s="100">
      <c r="A2" s="52" t="inlineStr">
        <is>
          <t>Custos de deslocamento e hospedagem por participante</t>
        </is>
      </c>
    </row>
    <row r="3" ht="27.95" customHeight="1" s="100">
      <c r="A3" s="8" t="inlineStr">
        <is>
          <t>Evento</t>
        </is>
      </c>
      <c r="B3" s="8" t="inlineStr">
        <is>
          <t>Participante</t>
        </is>
      </c>
      <c r="C3" s="8" t="inlineStr">
        <is>
          <t>Cargo</t>
        </is>
      </c>
      <c r="D3" s="8" t="inlineStr">
        <is>
          <t>Regional</t>
        </is>
      </c>
      <c r="E3" s="8" t="inlineStr">
        <is>
          <t>Cidade Orig.</t>
        </is>
      </c>
      <c r="F3" s="8" t="inlineStr">
        <is>
          <t>Data Ida</t>
        </is>
      </c>
      <c r="G3" s="8" t="inlineStr">
        <is>
          <t>Data Volta</t>
        </is>
      </c>
      <c r="H3" s="8" t="inlineStr">
        <is>
          <t>Aéreo R$</t>
        </is>
      </c>
      <c r="I3" s="8" t="inlineStr">
        <is>
          <t>Hospedagem R$</t>
        </is>
      </c>
      <c r="J3" s="8" t="inlineStr">
        <is>
          <t>Refeição R$</t>
        </is>
      </c>
      <c r="K3" s="8" t="inlineStr">
        <is>
          <t>Deslocamento R$</t>
        </is>
      </c>
      <c r="L3" s="8" t="inlineStr">
        <is>
          <t>Total R$</t>
        </is>
      </c>
      <c r="M3" s="8" t="inlineStr">
        <is>
          <t>Observações</t>
        </is>
      </c>
    </row>
    <row r="4">
      <c r="A4" s="77" t="inlineStr">
        <is>
          <t>BRAIN 2026</t>
        </is>
      </c>
      <c r="B4" s="77" t="n"/>
      <c r="C4" s="77" t="n"/>
      <c r="D4" s="77" t="n"/>
      <c r="E4" s="77" t="n"/>
      <c r="F4" s="15" t="n">
        <v>46175</v>
      </c>
      <c r="G4" s="15" t="n">
        <v>46178</v>
      </c>
      <c r="H4" s="136" t="n">
        <v>1440</v>
      </c>
      <c r="I4" s="136" t="n">
        <v>2596</v>
      </c>
      <c r="J4" s="136" t="n">
        <v>560</v>
      </c>
      <c r="K4" s="136" t="n">
        <v>200</v>
      </c>
      <c r="L4" s="136" t="n">
        <v>4796</v>
      </c>
      <c r="M4" s="77" t="n"/>
    </row>
    <row r="5" ht="24" customHeight="1" s="100">
      <c r="A5" s="76" t="inlineStr">
        <is>
          <t>ABENEPI - VIII Congresso Internacional &amp; XXVIII Brasileiro da ABENEPI</t>
        </is>
      </c>
      <c r="B5" s="76" t="n"/>
      <c r="C5" s="76" t="n"/>
      <c r="D5" s="76" t="n"/>
      <c r="E5" s="76" t="n"/>
      <c r="F5" s="12" t="n">
        <v>46322</v>
      </c>
      <c r="G5" s="12" t="n">
        <v>46324</v>
      </c>
      <c r="H5" s="135" t="n">
        <v>2500</v>
      </c>
      <c r="I5" s="135" t="n">
        <v>3600</v>
      </c>
      <c r="J5" s="135" t="n">
        <v>500</v>
      </c>
      <c r="K5" s="135" t="n">
        <v>300</v>
      </c>
      <c r="L5" s="135" t="n">
        <v>6900</v>
      </c>
      <c r="M5" s="76" t="n"/>
    </row>
    <row r="6">
      <c r="A6" s="77" t="inlineStr">
        <is>
          <t>BRAIN 2026</t>
        </is>
      </c>
      <c r="B6" s="77" t="n"/>
      <c r="C6" s="77" t="n"/>
      <c r="D6" s="77" t="n"/>
      <c r="E6" s="77" t="n"/>
      <c r="F6" s="15" t="n">
        <v>46213</v>
      </c>
      <c r="G6" s="15" t="n">
        <v>46217</v>
      </c>
      <c r="H6" s="136" t="n">
        <v>2000</v>
      </c>
      <c r="I6" s="136" t="n">
        <v>2596</v>
      </c>
      <c r="J6" s="136" t="n">
        <v>700</v>
      </c>
      <c r="K6" s="136" t="n">
        <v>800</v>
      </c>
      <c r="L6" s="136" t="n">
        <v>6096</v>
      </c>
      <c r="M6" s="77" t="n"/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C4700E"/>
    <outlinePr summaryBelow="1" summaryRight="1"/>
    <pageSetUpPr/>
  </sheetPr>
  <dimension ref="B2:H34"/>
  <sheetViews>
    <sheetView showGridLines="0" topLeftCell="A7" workbookViewId="0">
      <selection activeCell="B8" sqref="B8:D34"/>
    </sheetView>
  </sheetViews>
  <sheetFormatPr baseColWidth="8" defaultRowHeight="15"/>
  <cols>
    <col width="2" customWidth="1" style="100" min="1" max="1"/>
    <col width="25" customWidth="1" style="100" min="2" max="2"/>
    <col width="38" customWidth="1" style="100" min="3" max="3"/>
    <col width="18" customWidth="1" style="100" min="4" max="4"/>
    <col width="13" customWidth="1" style="100" min="5" max="6"/>
    <col width="16" customWidth="1" style="100" min="7" max="7"/>
    <col width="40" customWidth="1" style="100" min="8" max="8"/>
  </cols>
  <sheetData>
    <row r="1" ht="9.949999999999999" customHeight="1" s="100"/>
    <row r="2" ht="36" customHeight="1" s="100">
      <c r="B2" s="75" t="inlineStr">
        <is>
          <t>📝 MODELO PADRÃO DE CHECKLIST  ·  v4 · com coluna Prazo</t>
        </is>
      </c>
    </row>
    <row r="3" ht="20.1" customHeight="1" s="100">
      <c r="B3" s="47" t="inlineStr">
        <is>
          <t>✅ NOVO: Coluna Prazo habilita alertas automáticos de CF  ·  Duplicar aba → renomear → preencher evento → copiar dados para DB_ATIVIDADES</t>
        </is>
      </c>
    </row>
    <row r="5" ht="21.95" customHeight="1" s="100">
      <c r="B5" s="37" t="inlineStr">
        <is>
          <t>Evento:</t>
        </is>
      </c>
      <c r="C5" s="37" t="inlineStr">
        <is>
          <t>EM:</t>
        </is>
      </c>
      <c r="D5" s="37" t="inlineStr">
        <is>
          <t>Data:</t>
        </is>
      </c>
      <c r="E5" s="36" t="inlineStr">
        <is>
          <t>← preencher</t>
        </is>
      </c>
    </row>
    <row r="7" ht="27.95" customHeight="1" s="100">
      <c r="B7" s="8" t="inlineStr">
        <is>
          <t>Etapa</t>
        </is>
      </c>
      <c r="C7" s="8" t="inlineStr">
        <is>
          <t>Atividade</t>
        </is>
      </c>
      <c r="D7" s="8" t="inlineStr">
        <is>
          <t>Responsável</t>
        </is>
      </c>
      <c r="E7" s="8" t="inlineStr">
        <is>
          <t>Prazo</t>
        </is>
      </c>
      <c r="F7" s="8" t="inlineStr">
        <is>
          <t>% Conclusão</t>
        </is>
      </c>
      <c r="G7" s="8" t="inlineStr">
        <is>
          <t>Status</t>
        </is>
      </c>
      <c r="H7" s="8" t="inlineStr">
        <is>
          <t>Observações</t>
        </is>
      </c>
    </row>
    <row r="8" ht="18" customHeight="1" s="100">
      <c r="B8" s="37" t="inlineStr">
        <is>
          <t>Planejamento</t>
        </is>
      </c>
      <c r="C8" s="76" t="inlineStr">
        <is>
          <t>Briefing com Time de Marca</t>
        </is>
      </c>
      <c r="D8" s="38" t="inlineStr">
        <is>
          <t>Time de Marca</t>
        </is>
      </c>
      <c r="E8" s="41" t="inlineStr">
        <is>
          <t>A definir</t>
        </is>
      </c>
      <c r="F8" s="14" t="n">
        <v>0</v>
      </c>
      <c r="G8" s="76" t="inlineStr">
        <is>
          <t>PENDENTE</t>
        </is>
      </c>
      <c r="H8" s="76" t="n"/>
    </row>
    <row r="9" ht="18" customHeight="1" s="100">
      <c r="B9" s="77" t="inlineStr">
        <is>
          <t>Planejamento</t>
        </is>
      </c>
      <c r="C9" s="77" t="inlineStr">
        <is>
          <t>Inclusão no calendário de eventos</t>
        </is>
      </c>
      <c r="D9" s="40" t="inlineStr">
        <is>
          <t>Eventos</t>
        </is>
      </c>
      <c r="E9" s="41" t="inlineStr">
        <is>
          <t>A definir</t>
        </is>
      </c>
      <c r="F9" s="14" t="n">
        <v>0</v>
      </c>
      <c r="G9" s="77" t="inlineStr">
        <is>
          <t>PENDENTE</t>
        </is>
      </c>
      <c r="H9" s="77" t="n"/>
    </row>
    <row r="10" ht="18" customHeight="1" s="100">
      <c r="B10" s="37" t="inlineStr">
        <is>
          <t>VEEVA</t>
        </is>
      </c>
      <c r="C10" s="76" t="inlineStr">
        <is>
          <t>EM aprovada (Cota)</t>
        </is>
      </c>
      <c r="D10" s="38" t="inlineStr">
        <is>
          <t>Time de Marca</t>
        </is>
      </c>
      <c r="E10" s="39" t="inlineStr">
        <is>
          <t>A definir</t>
        </is>
      </c>
      <c r="F10" s="11" t="n">
        <v>0</v>
      </c>
      <c r="G10" s="76" t="inlineStr">
        <is>
          <t>PENDENTE</t>
        </is>
      </c>
      <c r="H10" s="76" t="inlineStr">
        <is>
          <t>Número EM: ___</t>
        </is>
      </c>
    </row>
    <row r="11" ht="18" customHeight="1" s="100">
      <c r="B11" s="77" t="inlineStr">
        <is>
          <t>VEEVA</t>
        </is>
      </c>
      <c r="C11" s="77" t="inlineStr">
        <is>
          <t>EM aprovada (Apoio)</t>
        </is>
      </c>
      <c r="D11" s="40" t="inlineStr">
        <is>
          <t>Time de Marca</t>
        </is>
      </c>
      <c r="E11" s="41" t="inlineStr">
        <is>
          <t>A definir</t>
        </is>
      </c>
      <c r="F11" s="14" t="n">
        <v>0</v>
      </c>
      <c r="G11" s="77" t="inlineStr">
        <is>
          <t>PENDENTE</t>
        </is>
      </c>
      <c r="H11" s="77" t="n"/>
    </row>
    <row r="12" ht="18" customHeight="1" s="100">
      <c r="B12" s="76" t="inlineStr">
        <is>
          <t>VEEVA</t>
        </is>
      </c>
      <c r="C12" s="76" t="inlineStr">
        <is>
          <t>EM aprovada (Simpósio)</t>
        </is>
      </c>
      <c r="D12" s="38" t="inlineStr">
        <is>
          <t>Time de Marca</t>
        </is>
      </c>
      <c r="E12" s="39" t="inlineStr">
        <is>
          <t>A definir</t>
        </is>
      </c>
      <c r="F12" s="11" t="n">
        <v>0</v>
      </c>
      <c r="G12" s="76" t="inlineStr">
        <is>
          <t>PENDENTE</t>
        </is>
      </c>
      <c r="H12" s="76" t="n"/>
    </row>
    <row r="13" ht="18" customHeight="1" s="100">
      <c r="B13" s="77" t="inlineStr">
        <is>
          <t>VEEVA</t>
        </is>
      </c>
      <c r="C13" s="77" t="inlineStr">
        <is>
          <t>Incluir time de Processos/Pagamentos</t>
        </is>
      </c>
      <c r="D13" s="40" t="inlineStr">
        <is>
          <t>Eventos</t>
        </is>
      </c>
      <c r="E13" s="41" t="inlineStr">
        <is>
          <t>A definir</t>
        </is>
      </c>
      <c r="F13" s="14" t="n">
        <v>0</v>
      </c>
      <c r="G13" s="77" t="inlineStr">
        <is>
          <t>PENDENTE</t>
        </is>
      </c>
      <c r="H13" s="77" t="n"/>
    </row>
    <row r="14" ht="18" customHeight="1" s="100">
      <c r="B14" s="76" t="inlineStr">
        <is>
          <t>VEEVA</t>
        </is>
      </c>
      <c r="C14" s="76" t="inlineStr">
        <is>
          <t>Incluir Agência Logística na EM</t>
        </is>
      </c>
      <c r="D14" s="38" t="inlineStr">
        <is>
          <t>Eventos</t>
        </is>
      </c>
      <c r="E14" s="39" t="inlineStr">
        <is>
          <t>A definir</t>
        </is>
      </c>
      <c r="F14" s="11" t="n">
        <v>0</v>
      </c>
      <c r="G14" s="76" t="inlineStr">
        <is>
          <t>PENDENTE</t>
        </is>
      </c>
      <c r="H14" s="76" t="n"/>
    </row>
    <row r="15" ht="18" customHeight="1" s="100">
      <c r="B15" s="37" t="inlineStr">
        <is>
          <t>Sociedade</t>
        </is>
      </c>
      <c r="C15" s="77" t="inlineStr">
        <is>
          <t>Contrato de Cota recebido</t>
        </is>
      </c>
      <c r="D15" s="40" t="inlineStr">
        <is>
          <t>Eventos</t>
        </is>
      </c>
      <c r="E15" s="41" t="inlineStr">
        <is>
          <t>A definir</t>
        </is>
      </c>
      <c r="F15" s="14" t="n">
        <v>0</v>
      </c>
      <c r="G15" s="77" t="inlineStr">
        <is>
          <t>PENDENTE</t>
        </is>
      </c>
      <c r="H15" s="77" t="n"/>
    </row>
    <row r="16" ht="18" customHeight="1" s="100">
      <c r="B16" s="76" t="inlineStr">
        <is>
          <t>Sociedade</t>
        </is>
      </c>
      <c r="C16" s="76" t="inlineStr">
        <is>
          <t>Envio de logo para Sociedade</t>
        </is>
      </c>
      <c r="D16" s="38" t="inlineStr">
        <is>
          <t>Eventos</t>
        </is>
      </c>
      <c r="E16" s="39" t="inlineStr">
        <is>
          <t>A definir</t>
        </is>
      </c>
      <c r="F16" s="11" t="n">
        <v>0</v>
      </c>
      <c r="G16" s="76" t="inlineStr">
        <is>
          <t>PENDENTE</t>
        </is>
      </c>
      <c r="H16" s="76" t="n"/>
    </row>
    <row r="17" ht="18" customHeight="1" s="100">
      <c r="B17" s="77" t="inlineStr">
        <is>
          <t>Sociedade</t>
        </is>
      </c>
      <c r="C17" s="77" t="inlineStr">
        <is>
          <t>Monitorar contrapartidas</t>
        </is>
      </c>
      <c r="D17" s="40" t="inlineStr">
        <is>
          <t>Eventos</t>
        </is>
      </c>
      <c r="E17" s="41" t="inlineStr">
        <is>
          <t>A definir</t>
        </is>
      </c>
      <c r="F17" s="14" t="n">
        <v>0</v>
      </c>
      <c r="G17" s="77" t="inlineStr">
        <is>
          <t>PENDENTE</t>
        </is>
      </c>
      <c r="H17" s="77" t="n"/>
    </row>
    <row r="18" ht="18" customHeight="1" s="100">
      <c r="B18" s="37" t="inlineStr">
        <is>
          <t>Agência</t>
        </is>
      </c>
      <c r="C18" s="76" t="inlineStr">
        <is>
          <t>Briefing para agência logística</t>
        </is>
      </c>
      <c r="D18" s="38" t="inlineStr">
        <is>
          <t>Eventos</t>
        </is>
      </c>
      <c r="E18" s="39" t="inlineStr">
        <is>
          <t>A definir</t>
        </is>
      </c>
      <c r="F18" s="11" t="n">
        <v>0</v>
      </c>
      <c r="G18" s="76" t="inlineStr">
        <is>
          <t>PENDENTE</t>
        </is>
      </c>
      <c r="H18" s="76" t="n"/>
    </row>
    <row r="19" ht="18" customHeight="1" s="100">
      <c r="B19" s="77" t="inlineStr">
        <is>
          <t>Agência</t>
        </is>
      </c>
      <c r="C19" s="77" t="inlineStr">
        <is>
          <t>Solicitar orçamento</t>
        </is>
      </c>
      <c r="D19" s="40" t="inlineStr">
        <is>
          <t>Eventos</t>
        </is>
      </c>
      <c r="E19" s="41" t="inlineStr">
        <is>
          <t>A definir</t>
        </is>
      </c>
      <c r="F19" s="14" t="n">
        <v>0</v>
      </c>
      <c r="G19" s="77" t="inlineStr">
        <is>
          <t>PENDENTE</t>
        </is>
      </c>
      <c r="H19" s="77" t="n"/>
    </row>
    <row r="20" ht="18" customHeight="1" s="100">
      <c r="B20" s="76" t="inlineStr">
        <is>
          <t>Agência</t>
        </is>
      </c>
      <c r="C20" s="76" t="inlineStr">
        <is>
          <t>Aprovação do orçamento</t>
        </is>
      </c>
      <c r="D20" s="38" t="inlineStr">
        <is>
          <t>Time de Marca</t>
        </is>
      </c>
      <c r="E20" s="39" t="inlineStr">
        <is>
          <t>A definir</t>
        </is>
      </c>
      <c r="F20" s="11" t="n">
        <v>0</v>
      </c>
      <c r="G20" s="76" t="inlineStr">
        <is>
          <t>PENDENTE</t>
        </is>
      </c>
      <c r="H20" s="76" t="n"/>
    </row>
    <row r="21" ht="18" customHeight="1" s="100">
      <c r="B21" s="77" t="inlineStr">
        <is>
          <t>Agência</t>
        </is>
      </c>
      <c r="C21" s="77" t="inlineStr">
        <is>
          <t>Criação de PO</t>
        </is>
      </c>
      <c r="D21" s="40" t="inlineStr">
        <is>
          <t>Eventos</t>
        </is>
      </c>
      <c r="E21" s="41" t="inlineStr">
        <is>
          <t>A definir</t>
        </is>
      </c>
      <c r="F21" s="14" t="n">
        <v>0</v>
      </c>
      <c r="G21" s="77" t="inlineStr">
        <is>
          <t>PENDENTE</t>
        </is>
      </c>
      <c r="H21" s="77" t="inlineStr">
        <is>
          <t>PO Nº: ___</t>
        </is>
      </c>
    </row>
    <row r="22" ht="18" customHeight="1" s="100">
      <c r="B22" s="76" t="inlineStr">
        <is>
          <t>Agência</t>
        </is>
      </c>
      <c r="C22" s="76" t="inlineStr">
        <is>
          <t>RSVP / Inscrições HCPs</t>
        </is>
      </c>
      <c r="D22" s="38" t="inlineStr">
        <is>
          <t>Eventos</t>
        </is>
      </c>
      <c r="E22" s="39" t="inlineStr">
        <is>
          <t>A definir</t>
        </is>
      </c>
      <c r="F22" s="11" t="n">
        <v>0</v>
      </c>
      <c r="G22" s="76" t="inlineStr">
        <is>
          <t>PENDENTE</t>
        </is>
      </c>
      <c r="H22" s="76" t="n"/>
    </row>
    <row r="23" ht="18" customHeight="1" s="100">
      <c r="B23" s="37" t="inlineStr">
        <is>
          <t>Simpósio</t>
        </is>
      </c>
      <c r="C23" s="77" t="inlineStr">
        <is>
          <t>Contratos de Palestrantes</t>
        </is>
      </c>
      <c r="D23" s="40" t="inlineStr">
        <is>
          <t>Eventos</t>
        </is>
      </c>
      <c r="E23" s="41" t="inlineStr">
        <is>
          <t>A definir</t>
        </is>
      </c>
      <c r="F23" s="14" t="n">
        <v>0</v>
      </c>
      <c r="G23" s="77" t="inlineStr">
        <is>
          <t>PENDENTE</t>
        </is>
      </c>
      <c r="H23" s="77" t="n"/>
    </row>
    <row r="24" ht="18" customHeight="1" s="100">
      <c r="B24" s="76" t="inlineStr">
        <is>
          <t>Simpósio</t>
        </is>
      </c>
      <c r="C24" s="76" t="inlineStr">
        <is>
          <t>PO Palestrantes aprovada</t>
        </is>
      </c>
      <c r="D24" s="38" t="inlineStr">
        <is>
          <t>Eventos</t>
        </is>
      </c>
      <c r="E24" s="39" t="inlineStr">
        <is>
          <t>A definir</t>
        </is>
      </c>
      <c r="F24" s="11" t="n">
        <v>0</v>
      </c>
      <c r="G24" s="76" t="inlineStr">
        <is>
          <t>PENDENTE</t>
        </is>
      </c>
      <c r="H24" s="76" t="n"/>
    </row>
    <row r="25" ht="18" customHeight="1" s="100">
      <c r="B25" s="77" t="inlineStr">
        <is>
          <t>Simpósio</t>
        </is>
      </c>
      <c r="C25" s="77" t="inlineStr">
        <is>
          <t>Aditivo (data/horário corretos)</t>
        </is>
      </c>
      <c r="D25" s="40" t="inlineStr">
        <is>
          <t>Eventos</t>
        </is>
      </c>
      <c r="E25" s="41" t="inlineStr">
        <is>
          <t>A definir</t>
        </is>
      </c>
      <c r="F25" s="14" t="n">
        <v>0</v>
      </c>
      <c r="G25" s="77" t="inlineStr">
        <is>
          <t>PENDENTE</t>
        </is>
      </c>
      <c r="H25" s="77" t="n"/>
    </row>
    <row r="26" ht="18" customHeight="1" s="100">
      <c r="B26" s="76" t="inlineStr">
        <is>
          <t>Simpósio</t>
        </is>
      </c>
      <c r="C26" s="76" t="inlineStr">
        <is>
          <t>Lunch Box / Buffet</t>
        </is>
      </c>
      <c r="D26" s="38" t="inlineStr">
        <is>
          <t>Eventos</t>
        </is>
      </c>
      <c r="E26" s="39" t="inlineStr">
        <is>
          <t>A definir</t>
        </is>
      </c>
      <c r="F26" s="11" t="n">
        <v>0</v>
      </c>
      <c r="G26" s="76" t="inlineStr">
        <is>
          <t>PENDENTE</t>
        </is>
      </c>
      <c r="H26" s="76" t="n"/>
    </row>
    <row r="27" ht="18" customHeight="1" s="100">
      <c r="B27" s="37" t="inlineStr">
        <is>
          <t>Stand</t>
        </is>
      </c>
      <c r="C27" s="77" t="inlineStr">
        <is>
          <t>Documentação do expositor</t>
        </is>
      </c>
      <c r="D27" s="40" t="inlineStr">
        <is>
          <t>Eventos</t>
        </is>
      </c>
      <c r="E27" s="41" t="inlineStr">
        <is>
          <t>A definir</t>
        </is>
      </c>
      <c r="F27" s="14" t="n">
        <v>0</v>
      </c>
      <c r="G27" s="77" t="inlineStr">
        <is>
          <t>PENDENTE</t>
        </is>
      </c>
      <c r="H27" s="77" t="n"/>
    </row>
    <row r="28" ht="18" customHeight="1" s="100">
      <c r="B28" s="76" t="inlineStr">
        <is>
          <t>Stand</t>
        </is>
      </c>
      <c r="C28" s="76" t="inlineStr">
        <is>
          <t>Formulários obrigatórios</t>
        </is>
      </c>
      <c r="D28" s="38" t="inlineStr">
        <is>
          <t>Eventos</t>
        </is>
      </c>
      <c r="E28" s="39" t="inlineStr">
        <is>
          <t>A definir</t>
        </is>
      </c>
      <c r="F28" s="11" t="n">
        <v>0</v>
      </c>
      <c r="G28" s="76" t="inlineStr">
        <is>
          <t>PENDENTE</t>
        </is>
      </c>
      <c r="H28" s="76" t="n"/>
    </row>
    <row r="29" ht="18" customHeight="1" s="100">
      <c r="B29" s="77" t="inlineStr">
        <is>
          <t>Stand</t>
        </is>
      </c>
      <c r="C29" s="77" t="inlineStr">
        <is>
          <t>PO Montadora aprovada</t>
        </is>
      </c>
      <c r="D29" s="40" t="inlineStr">
        <is>
          <t>Eventos</t>
        </is>
      </c>
      <c r="E29" s="41" t="inlineStr">
        <is>
          <t>A definir</t>
        </is>
      </c>
      <c r="F29" s="14" t="n">
        <v>0</v>
      </c>
      <c r="G29" s="77" t="inlineStr">
        <is>
          <t>PENDENTE</t>
        </is>
      </c>
      <c r="H29" s="77" t="n"/>
    </row>
    <row r="30" ht="18" customHeight="1" s="100">
      <c r="B30" s="37" t="inlineStr">
        <is>
          <t>Pós-Evento</t>
        </is>
      </c>
      <c r="C30" s="76" t="inlineStr">
        <is>
          <t>Solicitação NF/Recibo</t>
        </is>
      </c>
      <c r="D30" s="38" t="inlineStr">
        <is>
          <t>Eventos</t>
        </is>
      </c>
      <c r="E30" s="39" t="inlineStr">
        <is>
          <t>A definir</t>
        </is>
      </c>
      <c r="F30" s="11" t="n">
        <v>0</v>
      </c>
      <c r="G30" s="76" t="inlineStr">
        <is>
          <t>PENDENTE</t>
        </is>
      </c>
      <c r="H30" s="76" t="n"/>
    </row>
    <row r="31" ht="18" customHeight="1" s="100">
      <c r="B31" s="77" t="inlineStr">
        <is>
          <t>Pós-Evento</t>
        </is>
      </c>
      <c r="C31" s="77" t="inlineStr">
        <is>
          <t>Confirmação de pagamento</t>
        </is>
      </c>
      <c r="D31" s="40" t="inlineStr">
        <is>
          <t>Eventos</t>
        </is>
      </c>
      <c r="E31" s="41" t="inlineStr">
        <is>
          <t>A definir</t>
        </is>
      </c>
      <c r="F31" s="14" t="n">
        <v>0</v>
      </c>
      <c r="G31" s="77" t="inlineStr">
        <is>
          <t>PENDENTE</t>
        </is>
      </c>
      <c r="H31" s="77" t="n"/>
    </row>
    <row r="32" ht="18" customHeight="1" s="100">
      <c r="B32" s="76" t="inlineStr">
        <is>
          <t>Pós-Evento</t>
        </is>
      </c>
      <c r="C32" s="76" t="inlineStr">
        <is>
          <t>Encerramento da EM</t>
        </is>
      </c>
      <c r="D32" s="38" t="inlineStr">
        <is>
          <t>Eventos</t>
        </is>
      </c>
      <c r="E32" s="39" t="inlineStr">
        <is>
          <t>A definir</t>
        </is>
      </c>
      <c r="F32" s="11" t="n">
        <v>0</v>
      </c>
      <c r="G32" s="76" t="inlineStr">
        <is>
          <t>PENDENTE</t>
        </is>
      </c>
      <c r="H32" s="76" t="n"/>
    </row>
    <row r="33" ht="18" customHeight="1" s="100">
      <c r="B33" s="77" t="inlineStr">
        <is>
          <t>Pós-Evento</t>
        </is>
      </c>
      <c r="C33" s="77" t="inlineStr">
        <is>
          <t>Relatório de execução</t>
        </is>
      </c>
      <c r="D33" s="40" t="inlineStr">
        <is>
          <t>Eventos</t>
        </is>
      </c>
      <c r="E33" s="41" t="inlineStr">
        <is>
          <t>A definir</t>
        </is>
      </c>
      <c r="F33" s="14" t="n">
        <v>0</v>
      </c>
      <c r="G33" s="77" t="inlineStr">
        <is>
          <t>PENDENTE</t>
        </is>
      </c>
      <c r="H33" s="77" t="n"/>
    </row>
    <row r="34" ht="18" customHeight="1" s="100">
      <c r="B34" s="76" t="inlineStr">
        <is>
          <t>Pós-Evento</t>
        </is>
      </c>
      <c r="C34" s="76" t="inlineStr">
        <is>
          <t>Atualizar DB_ATIVIDADES</t>
        </is>
      </c>
      <c r="D34" s="38" t="inlineStr">
        <is>
          <t>Eventos</t>
        </is>
      </c>
      <c r="E34" s="39" t="inlineStr">
        <is>
          <t>A definir</t>
        </is>
      </c>
      <c r="F34" s="11" t="n">
        <v>0</v>
      </c>
      <c r="G34" s="76" t="inlineStr">
        <is>
          <t>PENDENTE</t>
        </is>
      </c>
      <c r="H34" s="76" t="inlineStr">
        <is>
          <t>Copiar linhas concluídas</t>
        </is>
      </c>
    </row>
  </sheetData>
  <mergeCells count="2">
    <mergeCell ref="B3:H3"/>
    <mergeCell ref="B2:H2"/>
  </mergeCells>
  <dataValidations count="1">
    <dataValidation sqref="G8:G34" showDropDown="0" showInputMessage="1" showErrorMessage="1" allowBlank="0" promptTitle="Status" type="list">
      <formula1>"CONCLUÍDO,EM ANDAMENTO,PENDENTE,ATRASADO,-"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404040"/>
    <outlinePr summaryBelow="1" summaryRight="1"/>
    <pageSetUpPr/>
  </sheetPr>
  <dimension ref="B2:I36"/>
  <sheetViews>
    <sheetView showGridLines="0" topLeftCell="A13" workbookViewId="0">
      <selection activeCell="C36" sqref="C36:I36"/>
    </sheetView>
  </sheetViews>
  <sheetFormatPr baseColWidth="8" defaultRowHeight="15"/>
  <cols>
    <col width="3" customWidth="1" style="100" min="1" max="1"/>
    <col width="22" customWidth="1" style="100" min="2" max="9"/>
  </cols>
  <sheetData>
    <row r="1" ht="9.949999999999999" customHeight="1" s="100"/>
    <row r="2" ht="39.95" customHeight="1" s="100">
      <c r="B2" s="72" t="inlineStr">
        <is>
          <t>🗺️ ROADMAP DE IMPLEMENTAÇÃO</t>
        </is>
      </c>
    </row>
    <row r="4" ht="27.95" customHeight="1" s="100">
      <c r="B4" s="53" t="inlineStr">
        <is>
          <t>FASE 1 — QUICK WINS ✅</t>
        </is>
      </c>
    </row>
    <row r="5" ht="20.1" customHeight="1" s="100">
      <c r="B5" s="10" t="inlineStr">
        <is>
          <t>✅</t>
        </is>
      </c>
      <c r="C5" s="77" t="inlineStr">
        <is>
          <t>DB_EVENTOS, DB_ATIVIDADES, DB_FINANCEIRO centralizados</t>
        </is>
      </c>
      <c r="D5" s="63" t="n"/>
      <c r="E5" s="63" t="n"/>
      <c r="F5" s="63" t="n"/>
      <c r="G5" s="63" t="n"/>
      <c r="H5" s="63" t="n"/>
      <c r="I5" s="64" t="n"/>
    </row>
    <row r="6" ht="20.1" customHeight="1" s="100">
      <c r="B6" s="10" t="inlineStr">
        <is>
          <t>✅</t>
        </is>
      </c>
      <c r="C6" s="76" t="inlineStr">
        <is>
          <t>Excel Tables com filtros e dropdown validations</t>
        </is>
      </c>
      <c r="D6" s="63" t="n"/>
      <c r="E6" s="63" t="n"/>
      <c r="F6" s="63" t="n"/>
      <c r="G6" s="63" t="n"/>
      <c r="H6" s="63" t="n"/>
      <c r="I6" s="64" t="n"/>
    </row>
    <row r="7" ht="20.1" customHeight="1" s="100">
      <c r="B7" s="10" t="inlineStr">
        <is>
          <t>✅</t>
        </is>
      </c>
      <c r="C7" s="77" t="inlineStr">
        <is>
          <t>Dashboard executivo com KPIs</t>
        </is>
      </c>
      <c r="D7" s="63" t="n"/>
      <c r="E7" s="63" t="n"/>
      <c r="F7" s="63" t="n"/>
      <c r="G7" s="63" t="n"/>
      <c r="H7" s="63" t="n"/>
      <c r="I7" s="64" t="n"/>
    </row>
    <row r="8" ht="20.1" customHeight="1" s="100">
      <c r="B8" s="10" t="inlineStr">
        <is>
          <t>✅</t>
        </is>
      </c>
      <c r="C8" s="76" t="inlineStr">
        <is>
          <t>Formatação condicional de status</t>
        </is>
      </c>
      <c r="D8" s="63" t="n"/>
      <c r="E8" s="63" t="n"/>
      <c r="F8" s="63" t="n"/>
      <c r="G8" s="63" t="n"/>
      <c r="H8" s="63" t="n"/>
      <c r="I8" s="64" t="n"/>
    </row>
    <row r="10" ht="27.95" customHeight="1" s="100">
      <c r="B10" s="79" t="inlineStr">
        <is>
          <t>FASE 2 — REESTRUTURAÇÃO ✅</t>
        </is>
      </c>
    </row>
    <row r="11" ht="20.1" customHeight="1" s="100">
      <c r="B11" s="42" t="inlineStr">
        <is>
          <t>✅</t>
        </is>
      </c>
      <c r="C11" s="77" t="inlineStr">
        <is>
          <t>DB_FORNECEDORES: 17 fornecedores cadastrados</t>
        </is>
      </c>
      <c r="D11" s="63" t="n"/>
      <c r="E11" s="63" t="n"/>
      <c r="F11" s="63" t="n"/>
      <c r="G11" s="63" t="n"/>
      <c r="H11" s="63" t="n"/>
      <c r="I11" s="64" t="n"/>
    </row>
    <row r="12" ht="20.1" customHeight="1" s="100">
      <c r="B12" s="42" t="inlineStr">
        <is>
          <t>✅</t>
        </is>
      </c>
      <c r="C12" s="76" t="inlineStr">
        <is>
          <t>DB_PARTICIPANTES: registro histórico de HCPs</t>
        </is>
      </c>
      <c r="D12" s="63" t="n"/>
      <c r="E12" s="63" t="n"/>
      <c r="F12" s="63" t="n"/>
      <c r="G12" s="63" t="n"/>
      <c r="H12" s="63" t="n"/>
      <c r="I12" s="64" t="n"/>
    </row>
    <row r="13" ht="20.1" customHeight="1" s="100">
      <c r="B13" s="42" t="inlineStr">
        <is>
          <t>✅</t>
        </is>
      </c>
      <c r="C13" s="77" t="inlineStr">
        <is>
          <t>15 validações de dados (dropdowns)</t>
        </is>
      </c>
      <c r="D13" s="63" t="n"/>
      <c r="E13" s="63" t="n"/>
      <c r="F13" s="63" t="n"/>
      <c r="G13" s="63" t="n"/>
      <c r="H13" s="63" t="n"/>
      <c r="I13" s="64" t="n"/>
    </row>
    <row r="14" ht="20.1" customHeight="1" s="100">
      <c r="B14" s="42" t="inlineStr">
        <is>
          <t>✅</t>
        </is>
      </c>
      <c r="C14" s="76" t="inlineStr">
        <is>
          <t>ID_Unico padronizado + flag de EMs duplicados</t>
        </is>
      </c>
      <c r="D14" s="63" t="n"/>
      <c r="E14" s="63" t="n"/>
      <c r="F14" s="63" t="n"/>
      <c r="G14" s="63" t="n"/>
      <c r="H14" s="63" t="n"/>
      <c r="I14" s="64" t="n"/>
    </row>
    <row r="15" ht="20.1" customHeight="1" s="100">
      <c r="B15" s="42" t="inlineStr">
        <is>
          <t>✅</t>
        </is>
      </c>
      <c r="C15" s="77" t="inlineStr">
        <is>
          <t>MODELO_CHECKLIST: 27 atividades padrão</t>
        </is>
      </c>
      <c r="D15" s="63" t="n"/>
      <c r="E15" s="63" t="n"/>
      <c r="F15" s="63" t="n"/>
      <c r="G15" s="63" t="n"/>
      <c r="H15" s="63" t="n"/>
      <c r="I15" s="64" t="n"/>
    </row>
    <row r="16" ht="20.1" customHeight="1" s="100">
      <c r="B16" s="42" t="inlineStr">
        <is>
          <t>✅</t>
        </is>
      </c>
      <c r="C16" s="76" t="inlineStr">
        <is>
          <t>Correções: typos, EMs normalizados, campos vazios</t>
        </is>
      </c>
      <c r="D16" s="63" t="n"/>
      <c r="E16" s="63" t="n"/>
      <c r="F16" s="63" t="n"/>
      <c r="G16" s="63" t="n"/>
      <c r="H16" s="63" t="n"/>
      <c r="I16" s="64" t="n"/>
    </row>
    <row r="18" ht="27.95" customHeight="1" s="100">
      <c r="B18" s="78" t="inlineStr">
        <is>
          <t>FASE 3 — AUTOMAÇÃO ✅</t>
        </is>
      </c>
    </row>
    <row r="19" ht="20.1" customHeight="1" s="100">
      <c r="B19" s="43" t="inlineStr">
        <is>
          <t>✅</t>
        </is>
      </c>
      <c r="C19" s="77" t="inlineStr">
        <is>
          <t>CF Visual Alerts: DB_EVENTOS (vencidos/7d/30d) + DB_ATIVIDADES (prazo+PENDENTE) + DB_FINANCEIRO (pendente/pago)</t>
        </is>
      </c>
      <c r="D19" s="63" t="n"/>
      <c r="E19" s="63" t="n"/>
      <c r="F19" s="63" t="n"/>
      <c r="G19" s="63" t="n"/>
      <c r="H19" s="63" t="n"/>
      <c r="I19" s="64" t="n"/>
    </row>
    <row r="20" ht="20.1" customHeight="1" s="100">
      <c r="B20" s="43" t="inlineStr">
        <is>
          <t>✅</t>
        </is>
      </c>
      <c r="C20" s="76" t="inlineStr">
        <is>
          <t>Coluna Prazo em DB_ATIVIDADES — habilita alertas por deadline</t>
        </is>
      </c>
      <c r="D20" s="63" t="n"/>
      <c r="E20" s="63" t="n"/>
      <c r="F20" s="63" t="n"/>
      <c r="G20" s="63" t="n"/>
      <c r="H20" s="63" t="n"/>
      <c r="I20" s="64" t="n"/>
    </row>
    <row r="21" ht="20.1" customHeight="1" s="100">
      <c r="B21" s="43" t="inlineStr">
        <is>
          <t>✅</t>
        </is>
      </c>
      <c r="C21" s="77" t="inlineStr">
        <is>
          <t>Aba ⚡ ALERTAS com COUNTIFS+SUMIFS e FILTER (Excel 365)</t>
        </is>
      </c>
      <c r="D21" s="63" t="n"/>
      <c r="E21" s="63" t="n"/>
      <c r="F21" s="63" t="n"/>
      <c r="G21" s="63" t="n"/>
      <c r="H21" s="63" t="n"/>
      <c r="I21" s="64" t="n"/>
    </row>
    <row r="22" ht="20.1" customHeight="1" s="100">
      <c r="B22" s="43" t="inlineStr">
        <is>
          <t>✅</t>
        </is>
      </c>
      <c r="C22" s="76" t="inlineStr">
        <is>
          <t>Office Script: automation/office_script_nec.ts — relatório semanal gerado automaticamente</t>
        </is>
      </c>
      <c r="D22" s="63" t="n"/>
      <c r="E22" s="63" t="n"/>
      <c r="F22" s="63" t="n"/>
      <c r="G22" s="63" t="n"/>
      <c r="H22" s="63" t="n"/>
      <c r="I22" s="64" t="n"/>
    </row>
    <row r="23" ht="20.1" customHeight="1" s="100">
      <c r="B23" s="43" t="inlineStr">
        <is>
          <t>✅</t>
        </is>
      </c>
      <c r="C23" s="77" t="inlineStr">
        <is>
          <t>Power Query: automation/power_query_nec.pq — 4 queries M prontos para conexão</t>
        </is>
      </c>
      <c r="D23" s="63" t="n"/>
      <c r="E23" s="63" t="n"/>
      <c r="F23" s="63" t="n"/>
      <c r="G23" s="63" t="n"/>
      <c r="H23" s="63" t="n"/>
      <c r="I23" s="64" t="n"/>
    </row>
    <row r="24" ht="20.1" customHeight="1" s="100">
      <c r="B24" s="43" t="inlineStr">
        <is>
          <t>✅</t>
        </is>
      </c>
      <c r="C24" s="76" t="inlineStr">
        <is>
          <t>Power Automate: automation/pa_flows_nec.md — 4 fluxos documentados e prontos para criação</t>
        </is>
      </c>
      <c r="D24" s="63" t="n"/>
      <c r="E24" s="63" t="n"/>
      <c r="F24" s="63" t="n"/>
      <c r="G24" s="63" t="n"/>
      <c r="H24" s="63" t="n"/>
      <c r="I24" s="64" t="n"/>
    </row>
    <row r="25" ht="20.1" customHeight="1" s="100">
      <c r="B25" s="43" t="inlineStr">
        <is>
          <t>✅</t>
        </is>
      </c>
      <c r="C25" s="77" t="inlineStr">
        <is>
          <t>SharePoint: automation/sharepoint_arquitetura.md — arquitetura e governança completa</t>
        </is>
      </c>
      <c r="D25" s="63" t="n"/>
      <c r="E25" s="63" t="n"/>
      <c r="F25" s="63" t="n"/>
      <c r="G25" s="63" t="n"/>
      <c r="H25" s="63" t="n"/>
      <c r="I25" s="64" t="n"/>
    </row>
    <row r="26" ht="20.1" customHeight="1" s="100">
      <c r="B26" s="44" t="inlineStr">
        <is>
          <t>⚠️ BLOQUEIO</t>
        </is>
      </c>
      <c r="C26" s="76" t="inlineStr">
        <is>
          <t>Rede egress bloqueia graph.microsoft.com — PA/SPO não criados via API automaticamente</t>
        </is>
      </c>
      <c r="D26" s="63" t="n"/>
      <c r="E26" s="63" t="n"/>
      <c r="F26" s="63" t="n"/>
      <c r="G26" s="63" t="n"/>
      <c r="H26" s="63" t="n"/>
      <c r="I26" s="64" t="n"/>
    </row>
    <row r="27" ht="20.1" customHeight="1" s="100">
      <c r="B27" s="44" t="inlineStr">
        <is>
          <t>⚠️ BLOQUEIO</t>
        </is>
      </c>
      <c r="C27" s="77" t="inlineStr">
        <is>
          <t>OAuth2/Service Principal não configurado no ambiente de execução</t>
        </is>
      </c>
      <c r="D27" s="63" t="n"/>
      <c r="E27" s="63" t="n"/>
      <c r="F27" s="63" t="n"/>
      <c r="G27" s="63" t="n"/>
      <c r="H27" s="63" t="n"/>
      <c r="I27" s="64" t="n"/>
    </row>
    <row r="28" ht="20.1" customHeight="1" s="100">
      <c r="B28" s="45" t="inlineStr">
        <is>
          <t>📋 AÇÃO</t>
        </is>
      </c>
      <c r="C28" s="76" t="inlineStr">
        <is>
          <t>IT: adicionar graph.microsoft.com ao allowlist de egress → automação pode ser finalizada</t>
        </is>
      </c>
      <c r="D28" s="63" t="n"/>
      <c r="E28" s="63" t="n"/>
      <c r="F28" s="63" t="n"/>
      <c r="G28" s="63" t="n"/>
      <c r="H28" s="63" t="n"/>
      <c r="I28" s="64" t="n"/>
    </row>
    <row r="30" ht="27.95" customHeight="1" s="100">
      <c r="B30" s="80" t="inlineStr">
        <is>
          <t>FASE 4 — DASHBOARD AVANÇADO</t>
        </is>
      </c>
    </row>
    <row r="31" ht="20.1" customHeight="1" s="100">
      <c r="B31" s="46" t="inlineStr">
        <is>
          <t>📅</t>
        </is>
      </c>
      <c r="C31" s="77" t="inlineStr">
        <is>
          <t>Power BI Desktop conectado às TblEventos/TblAtividades/TblFinanceiro</t>
        </is>
      </c>
      <c r="D31" s="63" t="n"/>
      <c r="E31" s="63" t="n"/>
      <c r="F31" s="63" t="n"/>
      <c r="G31" s="63" t="n"/>
      <c r="H31" s="63" t="n"/>
      <c r="I31" s="64" t="n"/>
    </row>
    <row r="32" ht="20.1" customHeight="1" s="100">
      <c r="B32" s="46" t="inlineStr">
        <is>
          <t>📅</t>
        </is>
      </c>
      <c r="C32" s="76" t="inlineStr">
        <is>
          <t>Gantt de eventos por trimestre (visual timeline)</t>
        </is>
      </c>
      <c r="D32" s="63" t="n"/>
      <c r="E32" s="63" t="n"/>
      <c r="F32" s="63" t="n"/>
      <c r="G32" s="63" t="n"/>
      <c r="H32" s="63" t="n"/>
      <c r="I32" s="64" t="n"/>
    </row>
    <row r="33" ht="20.1" customHeight="1" s="100">
      <c r="B33" s="46" t="inlineStr">
        <is>
          <t>📅</t>
        </is>
      </c>
      <c r="C33" s="77" t="inlineStr">
        <is>
          <t>Mapa geográfico: eventos por cidade brasileira</t>
        </is>
      </c>
      <c r="D33" s="63" t="n"/>
      <c r="E33" s="63" t="n"/>
      <c r="F33" s="63" t="n"/>
      <c r="G33" s="63" t="n"/>
      <c r="H33" s="63" t="n"/>
      <c r="I33" s="64" t="n"/>
    </row>
    <row r="34" ht="20.1" customHeight="1" s="100">
      <c r="B34" s="46" t="inlineStr">
        <is>
          <t>📅</t>
        </is>
      </c>
      <c r="C34" s="76" t="inlineStr">
        <is>
          <t>Análise YoY: budget x realizado 2025 vs 2026</t>
        </is>
      </c>
      <c r="D34" s="63" t="n"/>
      <c r="E34" s="63" t="n"/>
      <c r="F34" s="63" t="n"/>
      <c r="G34" s="63" t="n"/>
      <c r="H34" s="63" t="n"/>
      <c r="I34" s="64" t="n"/>
    </row>
    <row r="35" ht="20.1" customHeight="1" s="100">
      <c r="B35" s="46" t="inlineStr">
        <is>
          <t>📅</t>
        </is>
      </c>
      <c r="C35" s="77" t="inlineStr">
        <is>
          <t>Relatório executivo PDF automático (Power BI + PA)</t>
        </is>
      </c>
      <c r="D35" s="63" t="n"/>
      <c r="E35" s="63" t="n"/>
      <c r="F35" s="63" t="n"/>
      <c r="G35" s="63" t="n"/>
      <c r="H35" s="63" t="n"/>
      <c r="I35" s="64" t="n"/>
    </row>
    <row r="36" ht="20.1" customHeight="1" s="100">
      <c r="B36" s="46" t="inlineStr">
        <is>
          <t>📅</t>
        </is>
      </c>
      <c r="C36" s="76" t="inlineStr">
        <is>
          <t>Scorecard de performance por responsável/BU</t>
        </is>
      </c>
      <c r="D36" s="63" t="n"/>
      <c r="E36" s="63" t="n"/>
      <c r="F36" s="63" t="n"/>
      <c r="G36" s="63" t="n"/>
      <c r="H36" s="63" t="n"/>
      <c r="I36" s="64" t="n"/>
    </row>
  </sheetData>
  <mergeCells count="31">
    <mergeCell ref="C36:I36"/>
    <mergeCell ref="C23:I23"/>
    <mergeCell ref="C8:I8"/>
    <mergeCell ref="C32:I32"/>
    <mergeCell ref="C7:I7"/>
    <mergeCell ref="C19:I19"/>
    <mergeCell ref="B18:I18"/>
    <mergeCell ref="C28:I28"/>
    <mergeCell ref="C13:I13"/>
    <mergeCell ref="B2:I2"/>
    <mergeCell ref="C34:I34"/>
    <mergeCell ref="C6:I6"/>
    <mergeCell ref="C24:I24"/>
    <mergeCell ref="C15:I15"/>
    <mergeCell ref="C33:I33"/>
    <mergeCell ref="C5:I5"/>
    <mergeCell ref="C14:I14"/>
    <mergeCell ref="C26:I26"/>
    <mergeCell ref="C35:I35"/>
    <mergeCell ref="B10:I10"/>
    <mergeCell ref="C20:I20"/>
    <mergeCell ref="C16:I16"/>
    <mergeCell ref="C25:I25"/>
    <mergeCell ref="C31:I31"/>
    <mergeCell ref="C22:I22"/>
    <mergeCell ref="B30:I30"/>
    <mergeCell ref="C21:I21"/>
    <mergeCell ref="C12:I12"/>
    <mergeCell ref="C11:I11"/>
    <mergeCell ref="C27:I27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2026-06-22T19:34:11Z</dcterms:created>
  <dcterms:modified xsi:type="dcterms:W3CDTF">2026-06-22T22:03:04Z</dcterms:modified>
  <cp:lastModifiedBy>Martignon, Felipe</cp:lastModifiedBy>
</cp:coreProperties>
</file>