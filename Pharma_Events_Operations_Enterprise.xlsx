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Executive" sheetId="1" state="visible" r:id="rId1"/>
    <sheet name="Event Master Database" sheetId="2" state="visible" r:id="rId2"/>
    <sheet name="Budget Planning" sheetId="3" state="visible" r:id="rId3"/>
    <sheet name="Supplier Management" sheetId="4" state="visible" r:id="rId4"/>
    <sheet name="Cost Control" sheetId="5" state="visible" r:id="rId5"/>
    <sheet name="PO Tracking" sheetId="6" state="visible" r:id="rId6"/>
    <sheet name="Executive Reporting" sheetId="7" state="visible" r:id="rId7"/>
    <sheet name="Documentation" sheetId="8" state="visible" r:id="rId8"/>
  </sheets>
  <definedNames>
    <definedName name="_xlnm._FilterDatabase" localSheetId="1" hidden="1">'Event Master Database'!$A$1:$R$51</definedName>
    <definedName name="_xlnm.Print_Titles" localSheetId="1">'Event Master Database'!$1:$1</definedName>
    <definedName name="_xlnm._FilterDatabase" localSheetId="2" hidden="1">'Budget Planning'!$A$1:$V$51</definedName>
    <definedName name="_xlnm.Print_Titles" localSheetId="2">'Budget Planning'!$1:$1</definedName>
    <definedName name="_xlnm._FilterDatabase" localSheetId="3" hidden="1">'Supplier Management'!$A$1:$Q$149</definedName>
    <definedName name="_xlnm.Print_Titles" localSheetId="3">'Supplier Management'!$1:$1</definedName>
    <definedName name="_xlnm._FilterDatabase" localSheetId="4" hidden="1">'Cost Control'!$A$1:$P$551</definedName>
    <definedName name="_xlnm.Print_Titles" localSheetId="4">'Cost Control'!$1:$1</definedName>
    <definedName name="_xlnm._FilterDatabase" localSheetId="5" hidden="1">'PO Tracking'!$A$1:$S$149</definedName>
    <definedName name="_xlnm.Print_Titles" localSheetId="5">'PO Tracking'!$1:$1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 &quot;€&quot;"/>
    <numFmt numFmtId="165" formatCode="0.0%"/>
    <numFmt numFmtId="166" formatCode="#,##0 &quot;€&quot;"/>
    <numFmt numFmtId="167" formatCode="DD/MM/YYYY"/>
    <numFmt numFmtId="168" formatCode="#,##0.00 &quot;€&quot;;[Red]-#,##0.00 &quot;€&quot;"/>
    <numFmt numFmtId="169" formatCode="0.0%;[Red]-0.0%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1F3864"/>
      <sz val="13"/>
    </font>
    <font>
      <name val="Calibri"/>
      <b val="1"/>
      <color rgb="00C00000"/>
      <sz val="13"/>
    </font>
    <font>
      <name val="Calibri"/>
      <b val="1"/>
      <color rgb="001F3864"/>
      <sz val="15"/>
    </font>
    <font>
      <name val="Calibri"/>
      <b val="1"/>
      <color rgb="001F3864"/>
      <sz val="11"/>
    </font>
    <font>
      <name val="Calibri"/>
      <b val="1"/>
      <color rgb="00FFFFFF"/>
      <sz val="10"/>
    </font>
    <font>
      <name val="Calibri"/>
      <color rgb="00404040"/>
      <sz val="10"/>
    </font>
    <font>
      <name val="Calibri"/>
      <b val="1"/>
      <color rgb="00C55A11"/>
      <sz val="10"/>
    </font>
    <font>
      <name val="Calibri"/>
      <b val="1"/>
      <color rgb="0070AD47"/>
      <sz val="10"/>
    </font>
    <font>
      <name val="Calibri"/>
      <b val="1"/>
      <color rgb="00375623"/>
      <sz val="10"/>
    </font>
    <font>
      <name val="Calibri"/>
      <b val="1"/>
      <color rgb="00404040"/>
      <sz val="10"/>
    </font>
    <font>
      <name val="Calibri"/>
      <b val="1"/>
      <color rgb="0000B0F0"/>
      <sz val="10"/>
    </font>
    <font>
      <name val="Calibri"/>
      <b val="1"/>
      <color rgb="00C00000"/>
      <sz val="10"/>
    </font>
    <font>
      <name val="Calibri"/>
      <b val="1"/>
      <color rgb="005B9BD5"/>
      <sz val="10"/>
    </font>
    <font>
      <name val="Calibri"/>
      <b val="1"/>
      <color rgb="007F7F7F"/>
      <sz val="10"/>
    </font>
    <font>
      <name val="Calibri"/>
      <color rgb="00000000"/>
      <sz val="10"/>
    </font>
    <font>
      <name val="Calibri"/>
      <b val="1"/>
      <color rgb="002E75B6"/>
      <sz val="10"/>
    </font>
    <font>
      <name val="Calibri"/>
      <b val="1"/>
      <color rgb="00BF8F00"/>
      <sz val="10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i val="1"/>
      <color rgb="007F7F7F"/>
      <sz val="1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C55A11"/>
      </patternFill>
    </fill>
    <fill>
      <patternFill patternType="solid">
        <fgColor rgb="00F2F2F2"/>
      </patternFill>
    </fill>
    <fill>
      <patternFill patternType="solid">
        <fgColor rgb="00BF8F00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00B0F0"/>
      </patternFill>
    </fill>
    <fill>
      <patternFill patternType="solid">
        <fgColor rgb="005B9BD5"/>
      </patternFill>
    </fill>
    <fill>
      <patternFill patternType="solid">
        <fgColor rgb="007F7F7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404040"/>
      </patternFill>
    </fill>
    <fill>
      <patternFill patternType="solid">
        <fgColor rgb="00FFE0E0"/>
      </patternFill>
    </fill>
  </fills>
  <borders count="31">
    <border>
      <left/>
      <right/>
      <top/>
      <bottom/>
      <diagonal/>
    </border>
    <border>
      <left style="medium">
        <color rgb="00BDD7EE"/>
      </left>
      <right style="medium">
        <color rgb="00BDD7EE"/>
      </right>
      <top style="medium">
        <color rgb="00BDD7EE"/>
      </top>
      <bottom style="medium">
        <color rgb="00BDD7EE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medium">
        <color rgb="00D6D6D6"/>
      </left>
      <right style="medium">
        <color rgb="00D6D6D6"/>
      </right>
      <top style="medium">
        <color rgb="00D6D6D6"/>
      </top>
      <bottom style="medium">
        <color rgb="00D6D6D6"/>
      </bottom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D6D6D6"/>
      </left>
      <right style="thin">
        <color rgb="00D6D6D6"/>
      </right>
      <top style="thin">
        <color rgb="00D6D6D6"/>
      </top>
      <bottom style="thin">
        <color rgb="00D6D6D6"/>
      </bottom>
    </border>
    <border>
      <left/>
      <right/>
      <top style="thin">
        <color rgb="001F3864"/>
      </top>
      <bottom/>
      <diagonal/>
    </border>
    <border>
      <left/>
      <right style="thin">
        <color rgb="001F3864"/>
      </right>
      <top style="thin">
        <color rgb="001F3864"/>
      </top>
      <bottom/>
      <diagonal/>
    </border>
    <border>
      <left/>
      <right/>
      <top style="thin">
        <color rgb="001F3864"/>
      </top>
      <bottom style="thin">
        <color rgb="001F3864"/>
      </bottom>
      <diagonal/>
    </border>
    <border>
      <left/>
      <right style="thin">
        <color rgb="001F3864"/>
      </right>
      <top style="thin">
        <color rgb="001F3864"/>
      </top>
      <bottom style="thin">
        <color rgb="001F3864"/>
      </bottom>
      <diagonal/>
    </border>
    <border>
      <left/>
      <right/>
      <top style="thin">
        <color rgb="00D6D6D6"/>
      </top>
      <bottom/>
      <diagonal/>
    </border>
    <border>
      <left/>
      <right style="thin">
        <color rgb="00D6D6D6"/>
      </right>
      <top style="thin">
        <color rgb="00D6D6D6"/>
      </top>
      <bottom/>
      <diagonal/>
    </border>
    <border>
      <left/>
      <right/>
      <top style="thin">
        <color rgb="00D6D6D6"/>
      </top>
      <bottom style="thin">
        <color rgb="00D6D6D6"/>
      </bottom>
      <diagonal/>
    </border>
    <border>
      <left/>
      <right style="thin">
        <color rgb="00D6D6D6"/>
      </right>
      <top style="thin">
        <color rgb="00D6D6D6"/>
      </top>
      <bottom style="thin">
        <color rgb="00D6D6D6"/>
      </bottom>
      <diagonal/>
    </border>
    <border>
      <left/>
      <right/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left/>
      <right/>
      <top style="medium">
        <color rgb="002E75B6"/>
      </top>
      <bottom/>
      <diagonal/>
    </border>
    <border>
      <left/>
      <right style="medium">
        <color rgb="002E75B6"/>
      </right>
      <top style="medium">
        <color rgb="002E75B6"/>
      </top>
      <bottom/>
      <diagonal/>
    </border>
    <border>
      <left/>
      <right style="medium">
        <color rgb="002E75B6"/>
      </right>
      <top style="medium">
        <color rgb="002E75B6"/>
      </top>
      <bottom style="medium">
        <color rgb="002E75B6"/>
      </bottom>
      <diagonal/>
    </border>
    <border>
      <left/>
      <right/>
      <top style="medium">
        <color rgb="00BDD7EE"/>
      </top>
      <bottom/>
      <diagonal/>
    </border>
    <border>
      <left/>
      <right style="medium">
        <color rgb="00BDD7EE"/>
      </right>
      <top style="medium">
        <color rgb="00BDD7EE"/>
      </top>
      <bottom/>
      <diagonal/>
    </border>
    <border>
      <left/>
      <right style="medium">
        <color rgb="00BDD7EE"/>
      </right>
      <top style="medium">
        <color rgb="00BDD7EE"/>
      </top>
      <bottom style="medium">
        <color rgb="00BDD7EE"/>
      </bottom>
      <diagonal/>
    </border>
    <border>
      <left/>
      <right/>
      <top style="medium">
        <color rgb="00D6D6D6"/>
      </top>
      <bottom/>
      <diagonal/>
    </border>
    <border>
      <left/>
      <right style="medium">
        <color rgb="00D6D6D6"/>
      </right>
      <top style="medium">
        <color rgb="00D6D6D6"/>
      </top>
      <bottom/>
      <diagonal/>
    </border>
    <border>
      <left/>
      <right style="medium">
        <color rgb="00D6D6D6"/>
      </right>
      <top style="medium">
        <color rgb="00D6D6D6"/>
      </top>
      <bottom style="medium">
        <color rgb="00D6D6D6"/>
      </bottom>
      <diagonal/>
    </border>
    <border>
      <left/>
      <right/>
      <top style="medium">
        <color rgb="002E75B6"/>
      </top>
      <bottom style="medium">
        <color rgb="002E75B6"/>
      </bottom>
      <diagonal/>
    </border>
    <border>
      <top style="double">
        <color rgb="00FFFFFF"/>
      </top>
    </border>
    <border>
      <left/>
      <right/>
      <top style="double">
        <color rgb="00FFFFFF"/>
      </top>
      <bottom/>
      <diagonal/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164" fontId="5" fillId="4" borderId="2" applyAlignment="1" pivotButton="0" quotePrefix="0" xfId="0">
      <alignment horizontal="center" vertical="center"/>
    </xf>
    <xf numFmtId="165" fontId="6" fillId="4" borderId="2" applyAlignment="1" pivotButton="0" quotePrefix="0" xfId="0">
      <alignment horizontal="center" vertical="center"/>
    </xf>
    <xf numFmtId="3" fontId="7" fillId="4" borderId="2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9" borderId="3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3" fontId="5" fillId="6" borderId="4" applyAlignment="1" pivotButton="0" quotePrefix="0" xfId="0">
      <alignment horizontal="center" vertical="center"/>
    </xf>
    <xf numFmtId="165" fontId="8" fillId="6" borderId="4" applyAlignment="1" pivotButton="0" quotePrefix="0" xfId="0">
      <alignment horizontal="center" vertical="center"/>
    </xf>
    <xf numFmtId="164" fontId="8" fillId="6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0" fillId="4" borderId="6" applyAlignment="1" pivotButton="0" quotePrefix="0" xfId="0">
      <alignment horizontal="center" vertical="center"/>
    </xf>
    <xf numFmtId="166" fontId="10" fillId="4" borderId="6" applyAlignment="1" pivotButton="0" quotePrefix="0" xfId="0">
      <alignment horizontal="center" vertical="center"/>
    </xf>
    <xf numFmtId="165" fontId="11" fillId="4" borderId="6" applyAlignment="1" pivotButton="0" quotePrefix="0" xfId="0">
      <alignment horizontal="center" vertical="center"/>
    </xf>
    <xf numFmtId="0" fontId="11" fillId="4" borderId="6" applyAlignment="1" pivotButton="0" quotePrefix="0" xfId="0">
      <alignment horizontal="center" vertical="center"/>
    </xf>
    <xf numFmtId="0" fontId="10" fillId="4" borderId="6" applyAlignment="1" pivotButton="0" quotePrefix="0" xfId="0">
      <alignment horizontal="left" vertical="center"/>
    </xf>
    <xf numFmtId="0" fontId="10" fillId="10" borderId="6" applyAlignment="1" pivotButton="0" quotePrefix="0" xfId="0">
      <alignment horizontal="center" vertical="center"/>
    </xf>
    <xf numFmtId="166" fontId="10" fillId="10" borderId="6" applyAlignment="1" pivotButton="0" quotePrefix="0" xfId="0">
      <alignment horizontal="center" vertical="center"/>
    </xf>
    <xf numFmtId="165" fontId="11" fillId="10" borderId="6" applyAlignment="1" pivotButton="0" quotePrefix="0" xfId="0">
      <alignment horizontal="center" vertical="center"/>
    </xf>
    <xf numFmtId="0" fontId="12" fillId="10" borderId="6" applyAlignment="1" pivotButton="0" quotePrefix="0" xfId="0">
      <alignment horizontal="center" vertical="center"/>
    </xf>
    <xf numFmtId="0" fontId="10" fillId="10" borderId="6" applyAlignment="1" pivotButton="0" quotePrefix="0" xfId="0">
      <alignment horizontal="left" vertical="center"/>
    </xf>
    <xf numFmtId="165" fontId="12" fillId="10" borderId="6" applyAlignment="1" pivotButton="0" quotePrefix="0" xfId="0">
      <alignment horizontal="center" vertical="center"/>
    </xf>
    <xf numFmtId="165" fontId="12" fillId="4" borderId="6" applyAlignment="1" pivotButton="0" quotePrefix="0" xfId="0">
      <alignment horizontal="center" vertical="center"/>
    </xf>
    <xf numFmtId="0" fontId="11" fillId="10" borderId="6" applyAlignment="1" pivotButton="0" quotePrefix="0" xfId="0">
      <alignment horizontal="center" vertical="center"/>
    </xf>
    <xf numFmtId="0" fontId="12" fillId="4" borderId="6" applyAlignment="1" pivotButton="0" quotePrefix="0" xfId="0">
      <alignment horizontal="center" vertical="center"/>
    </xf>
    <xf numFmtId="0" fontId="13" fillId="4" borderId="6" applyAlignment="1" pivotButton="0" quotePrefix="0" xfId="0">
      <alignment horizontal="left" vertical="center"/>
    </xf>
    <xf numFmtId="0" fontId="14" fillId="4" borderId="6" applyAlignment="1" pivotButton="0" quotePrefix="0" xfId="0">
      <alignment horizontal="center" vertical="center"/>
    </xf>
    <xf numFmtId="165" fontId="10" fillId="4" borderId="6" applyAlignment="1" pivotButton="0" quotePrefix="0" xfId="0">
      <alignment horizontal="center" vertical="center"/>
    </xf>
    <xf numFmtId="0" fontId="16" fillId="4" borderId="6" applyAlignment="1" pivotButton="0" quotePrefix="0" xfId="0">
      <alignment horizontal="center" vertical="center"/>
    </xf>
    <xf numFmtId="0" fontId="15" fillId="10" borderId="6" applyAlignment="1" pivotButton="0" quotePrefix="0" xfId="0">
      <alignment horizontal="left" vertical="center"/>
    </xf>
    <xf numFmtId="0" fontId="14" fillId="10" borderId="6" applyAlignment="1" pivotButton="0" quotePrefix="0" xfId="0">
      <alignment horizontal="center" vertical="center"/>
    </xf>
    <xf numFmtId="165" fontId="10" fillId="10" borderId="6" applyAlignment="1" pivotButton="0" quotePrefix="0" xfId="0">
      <alignment horizontal="center" vertical="center"/>
    </xf>
    <xf numFmtId="0" fontId="16" fillId="10" borderId="6" applyAlignment="1" pivotButton="0" quotePrefix="0" xfId="0">
      <alignment horizontal="center" vertical="center"/>
    </xf>
    <xf numFmtId="0" fontId="16" fillId="4" borderId="6" applyAlignment="1" pivotButton="0" quotePrefix="0" xfId="0">
      <alignment horizontal="left" vertical="center"/>
    </xf>
    <xf numFmtId="0" fontId="12" fillId="10" borderId="6" applyAlignment="1" pivotButton="0" quotePrefix="0" xfId="0">
      <alignment horizontal="left" vertical="center"/>
    </xf>
    <xf numFmtId="0" fontId="17" fillId="4" borderId="6" applyAlignment="1" pivotButton="0" quotePrefix="0" xfId="0">
      <alignment horizontal="left" vertical="center"/>
    </xf>
    <xf numFmtId="0" fontId="18" fillId="10" borderId="6" applyAlignment="1" pivotButton="0" quotePrefix="0" xfId="0">
      <alignment horizontal="left" vertical="center"/>
    </xf>
    <xf numFmtId="0" fontId="11" fillId="4" borderId="6" applyAlignment="1" pivotButton="0" quotePrefix="0" xfId="0">
      <alignment horizontal="left" vertical="center"/>
    </xf>
    <xf numFmtId="0" fontId="20" fillId="10" borderId="6" applyAlignment="1" pivotButton="0" quotePrefix="0" xfId="0">
      <alignment horizontal="center" vertical="center"/>
    </xf>
    <xf numFmtId="0" fontId="19" fillId="4" borderId="6" applyAlignment="1" pivotButton="0" quotePrefix="0" xfId="0">
      <alignment horizontal="left" vertical="center"/>
    </xf>
    <xf numFmtId="0" fontId="19" fillId="4" borderId="6" applyAlignment="1" pivotButton="0" quotePrefix="0" xfId="0">
      <alignment horizontal="center" vertical="center"/>
    </xf>
    <xf numFmtId="167" fontId="19" fillId="4" borderId="6" applyAlignment="1" pivotButton="0" quotePrefix="0" xfId="0">
      <alignment horizontal="center" vertical="center"/>
    </xf>
    <xf numFmtId="3" fontId="19" fillId="4" borderId="6" applyAlignment="1" pivotButton="0" quotePrefix="0" xfId="0">
      <alignment horizontal="center" vertical="center"/>
    </xf>
    <xf numFmtId="0" fontId="9" fillId="11" borderId="6" applyAlignment="1" pivotButton="0" quotePrefix="0" xfId="0">
      <alignment horizontal="center" vertical="center"/>
    </xf>
    <xf numFmtId="0" fontId="19" fillId="10" borderId="6" applyAlignment="1" pivotButton="0" quotePrefix="0" xfId="0">
      <alignment horizontal="left" vertical="center"/>
    </xf>
    <xf numFmtId="0" fontId="19" fillId="10" borderId="6" applyAlignment="1" pivotButton="0" quotePrefix="0" xfId="0">
      <alignment horizontal="center" vertical="center"/>
    </xf>
    <xf numFmtId="167" fontId="19" fillId="10" borderId="6" applyAlignment="1" pivotButton="0" quotePrefix="0" xfId="0">
      <alignment horizontal="center" vertical="center"/>
    </xf>
    <xf numFmtId="3" fontId="19" fillId="10" borderId="6" applyAlignment="1" pivotButton="0" quotePrefix="0" xfId="0">
      <alignment horizontal="center" vertical="center"/>
    </xf>
    <xf numFmtId="0" fontId="9" fillId="9" borderId="6" applyAlignment="1" pivotButton="0" quotePrefix="0" xfId="0">
      <alignment horizontal="center" vertical="center"/>
    </xf>
    <xf numFmtId="0" fontId="9" fillId="8" borderId="6" applyAlignment="1" pivotButton="0" quotePrefix="0" xfId="0">
      <alignment horizontal="center" vertical="center"/>
    </xf>
    <xf numFmtId="0" fontId="9" fillId="12" borderId="6" applyAlignment="1" pivotButton="0" quotePrefix="0" xfId="0">
      <alignment horizontal="center" vertical="center"/>
    </xf>
    <xf numFmtId="0" fontId="9" fillId="13" borderId="6" applyAlignment="1" pivotButton="0" quotePrefix="0" xfId="0">
      <alignment horizontal="center" vertical="center"/>
    </xf>
    <xf numFmtId="0" fontId="9" fillId="14" borderId="6" applyAlignment="1" pivotButton="0" quotePrefix="0" xfId="0">
      <alignment horizontal="center" vertical="center"/>
    </xf>
    <xf numFmtId="0" fontId="9" fillId="5" borderId="6" applyAlignment="1" pivotButton="0" quotePrefix="0" xfId="0">
      <alignment horizontal="center" vertical="center"/>
    </xf>
    <xf numFmtId="0" fontId="4" fillId="11" borderId="5" applyAlignment="1" pivotButton="0" quotePrefix="0" xfId="0">
      <alignment horizontal="center" vertical="center" wrapText="1"/>
    </xf>
    <xf numFmtId="0" fontId="20" fillId="10" borderId="7" applyAlignment="1" pivotButton="0" quotePrefix="0" xfId="0">
      <alignment horizontal="center" vertical="center"/>
    </xf>
    <xf numFmtId="0" fontId="19" fillId="15" borderId="7" applyAlignment="1" pivotButton="0" quotePrefix="0" xfId="0">
      <alignment horizontal="left" vertical="center"/>
    </xf>
    <xf numFmtId="0" fontId="19" fillId="15" borderId="7" applyAlignment="1" pivotButton="0" quotePrefix="0" xfId="0">
      <alignment horizontal="center" vertical="center"/>
    </xf>
    <xf numFmtId="167" fontId="19" fillId="15" borderId="7" applyAlignment="1" pivotButton="0" quotePrefix="0" xfId="0">
      <alignment horizontal="center" vertical="center"/>
    </xf>
    <xf numFmtId="164" fontId="19" fillId="15" borderId="7" applyAlignment="1" pivotButton="0" quotePrefix="0" xfId="0">
      <alignment horizontal="right" vertical="center"/>
    </xf>
    <xf numFmtId="164" fontId="12" fillId="15" borderId="7" applyAlignment="1" pivotButton="0" quotePrefix="0" xfId="0">
      <alignment horizontal="right" vertical="center"/>
    </xf>
    <xf numFmtId="165" fontId="12" fillId="15" borderId="7" applyAlignment="1" pivotButton="0" quotePrefix="0" xfId="0">
      <alignment horizontal="center" vertical="center"/>
    </xf>
    <xf numFmtId="0" fontId="9" fillId="9" borderId="7" applyAlignment="1" pivotButton="0" quotePrefix="0" xfId="0">
      <alignment horizontal="center" vertical="center"/>
    </xf>
    <xf numFmtId="0" fontId="19" fillId="10" borderId="7" applyAlignment="1" pivotButton="0" quotePrefix="0" xfId="0">
      <alignment horizontal="left" vertical="center"/>
    </xf>
    <xf numFmtId="0" fontId="19" fillId="10" borderId="7" applyAlignment="1" pivotButton="0" quotePrefix="0" xfId="0">
      <alignment horizontal="center" vertical="center"/>
    </xf>
    <xf numFmtId="167" fontId="19" fillId="10" borderId="7" applyAlignment="1" pivotButton="0" quotePrefix="0" xfId="0">
      <alignment horizontal="center" vertical="center"/>
    </xf>
    <xf numFmtId="164" fontId="19" fillId="10" borderId="7" applyAlignment="1" pivotButton="0" quotePrefix="0" xfId="0">
      <alignment horizontal="right" vertical="center"/>
    </xf>
    <xf numFmtId="164" fontId="16" fillId="10" borderId="7" applyAlignment="1" pivotButton="0" quotePrefix="0" xfId="0">
      <alignment horizontal="right" vertical="center"/>
    </xf>
    <xf numFmtId="165" fontId="16" fillId="10" borderId="7" applyAlignment="1" pivotButton="0" quotePrefix="0" xfId="0">
      <alignment horizontal="center" vertical="center"/>
    </xf>
    <xf numFmtId="0" fontId="9" fillId="5" borderId="7" applyAlignment="1" pivotButton="0" quotePrefix="0" xfId="0">
      <alignment horizontal="center" vertical="center"/>
    </xf>
    <xf numFmtId="164" fontId="16" fillId="15" borderId="7" applyAlignment="1" pivotButton="0" quotePrefix="0" xfId="0">
      <alignment horizontal="right" vertical="center"/>
    </xf>
    <xf numFmtId="165" fontId="12" fillId="10" borderId="7" applyAlignment="1" pivotButton="0" quotePrefix="0" xfId="0">
      <alignment horizontal="center" vertical="center"/>
    </xf>
    <xf numFmtId="165" fontId="16" fillId="15" borderId="7" applyAlignment="1" pivotButton="0" quotePrefix="0" xfId="0">
      <alignment horizontal="center" vertical="center"/>
    </xf>
    <xf numFmtId="164" fontId="12" fillId="10" borderId="7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164" fontId="3" fillId="2" borderId="2" applyAlignment="1" pivotButton="0" quotePrefix="0" xfId="0">
      <alignment horizontal="right" vertical="center"/>
    </xf>
    <xf numFmtId="0" fontId="4" fillId="5" borderId="5" applyAlignment="1" pivotButton="0" quotePrefix="0" xfId="0">
      <alignment horizontal="center" vertical="center" wrapText="1"/>
    </xf>
    <xf numFmtId="0" fontId="11" fillId="10" borderId="7" applyAlignment="1" pivotButton="0" quotePrefix="0" xfId="0">
      <alignment horizontal="center" vertical="center"/>
    </xf>
    <xf numFmtId="0" fontId="19" fillId="16" borderId="7" applyAlignment="1" pivotButton="0" quotePrefix="0" xfId="0">
      <alignment horizontal="center" vertical="center"/>
    </xf>
    <xf numFmtId="0" fontId="19" fillId="16" borderId="7" applyAlignment="1" pivotButton="0" quotePrefix="0" xfId="0">
      <alignment horizontal="left" vertical="center"/>
    </xf>
    <xf numFmtId="164" fontId="19" fillId="16" borderId="7" applyAlignment="1" pivotButton="0" quotePrefix="0" xfId="0">
      <alignment horizontal="right" vertical="center"/>
    </xf>
    <xf numFmtId="0" fontId="9" fillId="12" borderId="7" applyAlignment="1" pivotButton="0" quotePrefix="0" xfId="0">
      <alignment horizontal="center" vertical="center"/>
    </xf>
    <xf numFmtId="167" fontId="19" fillId="16" borderId="7" applyAlignment="1" pivotButton="0" quotePrefix="0" xfId="0">
      <alignment horizontal="center" vertical="center"/>
    </xf>
    <xf numFmtId="3" fontId="10" fillId="16" borderId="7" applyAlignment="1" pivotButton="0" quotePrefix="0" xfId="0">
      <alignment horizontal="center" vertical="center"/>
    </xf>
    <xf numFmtId="3" fontId="10" fillId="10" borderId="7" applyAlignment="1" pivotButton="0" quotePrefix="0" xfId="0">
      <alignment horizontal="center" vertical="center"/>
    </xf>
    <xf numFmtId="0" fontId="9" fillId="17" borderId="7" applyAlignment="1" pivotButton="0" quotePrefix="0" xfId="0">
      <alignment horizontal="center" vertical="center"/>
    </xf>
    <xf numFmtId="0" fontId="9" fillId="8" borderId="7" applyAlignment="1" pivotButton="0" quotePrefix="0" xfId="0">
      <alignment horizontal="center" vertical="center"/>
    </xf>
    <xf numFmtId="3" fontId="16" fillId="18" borderId="7" applyAlignment="1" pivotButton="0" quotePrefix="0" xfId="0">
      <alignment horizontal="center" vertical="center"/>
    </xf>
    <xf numFmtId="0" fontId="9" fillId="13" borderId="7" applyAlignment="1" pivotButton="0" quotePrefix="0" xfId="0">
      <alignment horizontal="center" vertical="center"/>
    </xf>
    <xf numFmtId="0" fontId="9" fillId="14" borderId="7" applyAlignment="1" pivotButton="0" quotePrefix="0" xfId="0">
      <alignment horizontal="center" vertical="center"/>
    </xf>
    <xf numFmtId="0" fontId="4" fillId="12" borderId="5" applyAlignment="1" pivotButton="0" quotePrefix="0" xfId="0">
      <alignment horizontal="center" vertical="center" wrapText="1"/>
    </xf>
    <xf numFmtId="0" fontId="15" fillId="4" borderId="7" applyAlignment="1" pivotButton="0" quotePrefix="0" xfId="0">
      <alignment horizontal="center" vertical="center"/>
    </xf>
    <xf numFmtId="0" fontId="19" fillId="4" borderId="7" applyAlignment="1" pivotButton="0" quotePrefix="0" xfId="0">
      <alignment horizontal="center" vertical="center"/>
    </xf>
    <xf numFmtId="0" fontId="19" fillId="4" borderId="7" applyAlignment="1" pivotButton="0" quotePrefix="0" xfId="0">
      <alignment horizontal="left" vertical="center"/>
    </xf>
    <xf numFmtId="164" fontId="19" fillId="4" borderId="7" applyAlignment="1" pivotButton="0" quotePrefix="0" xfId="0">
      <alignment horizontal="right" vertical="center"/>
    </xf>
    <xf numFmtId="164" fontId="12" fillId="4" borderId="7" applyAlignment="1" pivotButton="0" quotePrefix="0" xfId="0">
      <alignment horizontal="right" vertical="center"/>
    </xf>
    <xf numFmtId="165" fontId="12" fillId="4" borderId="7" applyAlignment="1" pivotButton="0" quotePrefix="0" xfId="0">
      <alignment horizontal="center" vertical="center"/>
    </xf>
    <xf numFmtId="165" fontId="19" fillId="4" borderId="7" applyAlignment="1" pivotButton="0" quotePrefix="0" xfId="0">
      <alignment horizontal="center" vertical="center"/>
    </xf>
    <xf numFmtId="0" fontId="12" fillId="4" borderId="7" applyAlignment="1" pivotButton="0" quotePrefix="0" xfId="0">
      <alignment horizontal="center" vertical="center"/>
    </xf>
    <xf numFmtId="0" fontId="15" fillId="10" borderId="7" applyAlignment="1" pivotButton="0" quotePrefix="0" xfId="0">
      <alignment horizontal="center" vertical="center"/>
    </xf>
    <xf numFmtId="165" fontId="19" fillId="10" borderId="7" applyAlignment="1" pivotButton="0" quotePrefix="0" xfId="0">
      <alignment horizontal="center" vertical="center"/>
    </xf>
    <xf numFmtId="0" fontId="12" fillId="10" borderId="7" applyAlignment="1" pivotButton="0" quotePrefix="0" xfId="0">
      <alignment horizontal="center" vertical="center"/>
    </xf>
    <xf numFmtId="164" fontId="16" fillId="4" borderId="7" applyAlignment="1" pivotButton="0" quotePrefix="0" xfId="0">
      <alignment horizontal="right" vertical="center"/>
    </xf>
    <xf numFmtId="165" fontId="16" fillId="4" borderId="7" applyAlignment="1" pivotButton="0" quotePrefix="0" xfId="0">
      <alignment horizontal="center" vertical="center"/>
    </xf>
    <xf numFmtId="0" fontId="16" fillId="4" borderId="7" applyAlignment="1" pivotButton="0" quotePrefix="0" xfId="0">
      <alignment horizontal="center" vertical="center"/>
    </xf>
    <xf numFmtId="0" fontId="16" fillId="10" borderId="7" applyAlignment="1" pivotButton="0" quotePrefix="0" xfId="0">
      <alignment horizontal="center" vertical="center"/>
    </xf>
    <xf numFmtId="0" fontId="4" fillId="7" borderId="5" applyAlignment="1" pivotButton="0" quotePrefix="0" xfId="0">
      <alignment horizontal="center" vertical="center" wrapText="1"/>
    </xf>
    <xf numFmtId="0" fontId="21" fillId="16" borderId="7" applyAlignment="1" pivotButton="0" quotePrefix="0" xfId="0">
      <alignment horizontal="center" vertical="center"/>
    </xf>
    <xf numFmtId="0" fontId="21" fillId="10" borderId="7" applyAlignment="1" pivotButton="0" quotePrefix="0" xfId="0">
      <alignment horizontal="center" vertical="center"/>
    </xf>
    <xf numFmtId="0" fontId="9" fillId="11" borderId="7" applyAlignment="1" pivotButton="0" quotePrefix="0" xfId="0">
      <alignment horizontal="center" vertical="center"/>
    </xf>
    <xf numFmtId="164" fontId="22" fillId="2" borderId="2" applyAlignment="1" pivotButton="0" quotePrefix="0" xfId="0">
      <alignment horizontal="right" vertical="center"/>
    </xf>
    <xf numFmtId="0" fontId="23" fillId="2" borderId="0" applyAlignment="1" pivotButton="0" quotePrefix="0" xfId="0">
      <alignment horizontal="center" vertical="center"/>
    </xf>
    <xf numFmtId="165" fontId="16" fillId="10" borderId="6" applyAlignment="1" pivotButton="0" quotePrefix="0" xfId="0">
      <alignment horizontal="center" vertical="center"/>
    </xf>
    <xf numFmtId="165" fontId="16" fillId="4" borderId="6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164" fontId="9" fillId="2" borderId="2" applyAlignment="1" pivotButton="0" quotePrefix="0" xfId="0">
      <alignment horizontal="right" vertical="center"/>
    </xf>
    <xf numFmtId="0" fontId="22" fillId="2" borderId="2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24" fillId="4" borderId="7" applyAlignment="1" pivotButton="0" quotePrefix="0" xfId="0">
      <alignment horizontal="left" vertical="top" wrapText="1"/>
    </xf>
    <xf numFmtId="0" fontId="19" fillId="4" borderId="7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  <xf numFmtId="0" fontId="25" fillId="4" borderId="7" applyAlignment="1" pivotButton="0" quotePrefix="0" xfId="0">
      <alignment horizontal="left" vertical="top" wrapText="1"/>
    </xf>
    <xf numFmtId="0" fontId="24" fillId="10" borderId="7" applyAlignment="1" pivotButton="0" quotePrefix="0" xfId="0">
      <alignment horizontal="left" vertical="top" wrapText="1"/>
    </xf>
    <xf numFmtId="0" fontId="19" fillId="10" borderId="7" applyAlignment="1" pivotButton="0" quotePrefix="0" xfId="0">
      <alignment horizontal="left" vertical="top" wrapText="1"/>
    </xf>
    <xf numFmtId="0" fontId="25" fillId="10" borderId="7" applyAlignment="1" pivotButton="0" quotePrefix="0" xfId="0">
      <alignment horizontal="left" vertical="top" wrapText="1"/>
    </xf>
    <xf numFmtId="0" fontId="0" fillId="0" borderId="24" pivotButton="0" quotePrefix="0" xfId="0"/>
    <xf numFmtId="0" fontId="0" fillId="0" borderId="21" pivotButton="0" quotePrefix="0" xfId="0"/>
    <xf numFmtId="168" fontId="5" fillId="4" borderId="2" applyAlignment="1" pivotButton="0" quotePrefix="0" xfId="0">
      <alignment horizontal="center" vertical="center"/>
    </xf>
    <xf numFmtId="169" fontId="6" fillId="4" borderId="2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7" pivotButton="0" quotePrefix="0" xfId="0"/>
    <xf numFmtId="10" fontId="8" fillId="6" borderId="4" applyAlignment="1" pivotButton="0" quotePrefix="0" xfId="0">
      <alignment horizontal="center" vertical="center"/>
    </xf>
    <xf numFmtId="168" fontId="10" fillId="4" borderId="6" applyAlignment="1" pivotButton="0" quotePrefix="0" xfId="0">
      <alignment horizontal="center" vertical="center"/>
    </xf>
    <xf numFmtId="169" fontId="11" fillId="4" borderId="6" applyAlignment="1" pivotButton="0" quotePrefix="0" xfId="0">
      <alignment horizontal="center" vertical="center"/>
    </xf>
    <xf numFmtId="3" fontId="10" fillId="4" borderId="6" applyAlignment="1" pivotButton="0" quotePrefix="0" xfId="0">
      <alignment horizontal="center" vertical="center"/>
    </xf>
    <xf numFmtId="168" fontId="10" fillId="10" borderId="6" applyAlignment="1" pivotButton="0" quotePrefix="0" xfId="0">
      <alignment horizontal="center" vertical="center"/>
    </xf>
    <xf numFmtId="169" fontId="11" fillId="10" borderId="6" applyAlignment="1" pivotButton="0" quotePrefix="0" xfId="0">
      <alignment horizontal="center" vertical="center"/>
    </xf>
    <xf numFmtId="3" fontId="10" fillId="10" borderId="6" applyAlignment="1" pivotButton="0" quotePrefix="0" xfId="0">
      <alignment horizontal="center" vertical="center"/>
    </xf>
    <xf numFmtId="169" fontId="12" fillId="10" borderId="6" applyAlignment="1" pivotButton="0" quotePrefix="0" xfId="0">
      <alignment horizontal="center" vertical="center"/>
    </xf>
    <xf numFmtId="3" fontId="14" fillId="4" borderId="6" applyAlignment="1" pivotButton="0" quotePrefix="0" xfId="0">
      <alignment horizontal="center" vertical="center"/>
    </xf>
    <xf numFmtId="10" fontId="10" fillId="4" borderId="6" applyAlignment="1" pivotButton="0" quotePrefix="0" xfId="0">
      <alignment horizontal="center" vertical="center"/>
    </xf>
    <xf numFmtId="3" fontId="14" fillId="10" borderId="6" applyAlignment="1" pivotButton="0" quotePrefix="0" xfId="0">
      <alignment horizontal="center" vertical="center"/>
    </xf>
    <xf numFmtId="10" fontId="10" fillId="10" borderId="6" applyAlignment="1" pivotButton="0" quotePrefix="0" xfId="0">
      <alignment horizontal="center" vertical="center"/>
    </xf>
    <xf numFmtId="167" fontId="19" fillId="4" borderId="6" applyAlignment="1" pivotButton="0" quotePrefix="0" xfId="0">
      <alignment horizontal="center" vertical="center"/>
    </xf>
    <xf numFmtId="167" fontId="19" fillId="10" borderId="6" applyAlignment="1" pivotButton="0" quotePrefix="0" xfId="0">
      <alignment horizontal="center" vertical="center"/>
    </xf>
    <xf numFmtId="167" fontId="19" fillId="15" borderId="7" applyAlignment="1" pivotButton="0" quotePrefix="0" xfId="0">
      <alignment horizontal="center" vertical="center"/>
    </xf>
    <xf numFmtId="168" fontId="12" fillId="15" borderId="7" applyAlignment="1" pivotButton="0" quotePrefix="0" xfId="0">
      <alignment horizontal="right" vertical="center"/>
    </xf>
    <xf numFmtId="169" fontId="12" fillId="15" borderId="7" applyAlignment="1" pivotButton="0" quotePrefix="0" xfId="0">
      <alignment horizontal="center" vertical="center"/>
    </xf>
    <xf numFmtId="167" fontId="19" fillId="10" borderId="7" applyAlignment="1" pivotButton="0" quotePrefix="0" xfId="0">
      <alignment horizontal="center" vertical="center"/>
    </xf>
    <xf numFmtId="168" fontId="16" fillId="10" borderId="7" applyAlignment="1" pivotButton="0" quotePrefix="0" xfId="0">
      <alignment horizontal="right" vertical="center"/>
    </xf>
    <xf numFmtId="169" fontId="16" fillId="10" borderId="7" applyAlignment="1" pivotButton="0" quotePrefix="0" xfId="0">
      <alignment horizontal="center" vertical="center"/>
    </xf>
    <xf numFmtId="168" fontId="16" fillId="15" borderId="7" applyAlignment="1" pivotButton="0" quotePrefix="0" xfId="0">
      <alignment horizontal="right" vertical="center"/>
    </xf>
    <xf numFmtId="169" fontId="12" fillId="10" borderId="7" applyAlignment="1" pivotButton="0" quotePrefix="0" xfId="0">
      <alignment horizontal="center" vertical="center"/>
    </xf>
    <xf numFmtId="169" fontId="16" fillId="15" borderId="7" applyAlignment="1" pivotButton="0" quotePrefix="0" xfId="0">
      <alignment horizontal="center" vertical="center"/>
    </xf>
    <xf numFmtId="168" fontId="12" fillId="10" borderId="7" applyAlignment="1" pivotButton="0" quotePrefix="0" xfId="0">
      <alignment horizontal="right" vertical="center"/>
    </xf>
    <xf numFmtId="167" fontId="19" fillId="16" borderId="7" applyAlignment="1" pivotButton="0" quotePrefix="0" xfId="0">
      <alignment horizontal="center" vertical="center"/>
    </xf>
    <xf numFmtId="168" fontId="12" fillId="4" borderId="7" applyAlignment="1" pivotButton="0" quotePrefix="0" xfId="0">
      <alignment horizontal="right" vertical="center"/>
    </xf>
    <xf numFmtId="169" fontId="12" fillId="4" borderId="7" applyAlignment="1" pivotButton="0" quotePrefix="0" xfId="0">
      <alignment horizontal="center" vertical="center"/>
    </xf>
    <xf numFmtId="168" fontId="16" fillId="4" borderId="7" applyAlignment="1" pivotButton="0" quotePrefix="0" xfId="0">
      <alignment horizontal="right" vertical="center"/>
    </xf>
    <xf numFmtId="169" fontId="16" fillId="4" borderId="7" applyAlignment="1" pivotButton="0" quotePrefix="0" xfId="0">
      <alignment horizontal="center" vertical="center"/>
    </xf>
    <xf numFmtId="169" fontId="16" fillId="10" borderId="6" applyAlignment="1" pivotButton="0" quotePrefix="0" xfId="0">
      <alignment horizontal="center" vertical="center"/>
    </xf>
    <xf numFmtId="169" fontId="12" fillId="4" borderId="6" applyAlignment="1" pivotButton="0" quotePrefix="0" xfId="0">
      <alignment horizontal="center" vertical="center"/>
    </xf>
    <xf numFmtId="169" fontId="16" fillId="4" borderId="6" applyAlignment="1" pivotButton="0" quotePrefix="0" xfId="0">
      <alignment horizontal="center" vertical="center"/>
    </xf>
    <xf numFmtId="169" fontId="0" fillId="0" borderId="0" pivotButton="0" quotePrefix="0" xfId="0"/>
    <xf numFmtId="165" fontId="0" fillId="0" borderId="0" pivotButton="0" quotePrefix="0" xfId="0"/>
    <xf numFmtId="0" fontId="0" fillId="0" borderId="28" pivotButton="0" quotePrefix="0" xfId="0"/>
    <xf numFmtId="0" fontId="3" fillId="2" borderId="29" applyAlignment="1" pivotButton="0" quotePrefix="0" xfId="0">
      <alignment horizontal="center" vertical="center"/>
    </xf>
    <xf numFmtId="164" fontId="3" fillId="2" borderId="29" applyAlignment="1" pivotButton="0" quotePrefix="0" xfId="0">
      <alignment horizontal="right" vertical="center"/>
    </xf>
    <xf numFmtId="0" fontId="0" fillId="0" borderId="29" pivotButton="0" quotePrefix="0" xfId="0"/>
    <xf numFmtId="3" fontId="19" fillId="16" borderId="7" applyAlignment="1" pivotButton="0" quotePrefix="0" xfId="0">
      <alignment horizontal="center" vertical="center"/>
    </xf>
    <xf numFmtId="3" fontId="19" fillId="10" borderId="7" applyAlignment="1" pivotButton="0" quotePrefix="0" xfId="0">
      <alignment horizontal="center" vertical="center"/>
    </xf>
    <xf numFmtId="164" fontId="22" fillId="2" borderId="29" applyAlignment="1" pivotButton="0" quotePrefix="0" xfId="0">
      <alignment horizontal="right" vertical="center"/>
    </xf>
    <xf numFmtId="0" fontId="0" fillId="0" borderId="30" pivotButton="0" quotePrefix="0" xfId="0"/>
  </cellXfs>
  <cellStyles count="1">
    <cellStyle name="Normal" xfId="0" builtinId="0" hidden="0"/>
  </cellStyles>
  <dxfs count="8">
    <dxf>
      <fill>
        <patternFill patternType="solid">
          <fgColor rgb="00E2EFDA"/>
        </patternFill>
      </fill>
    </dxf>
    <dxf>
      <fill>
        <patternFill patternType="solid">
          <fgColor rgb="00FFE0E0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EEAF1"/>
        </patternFill>
      </fill>
    </dxf>
    <dxf>
      <font>
        <color rgb="00843C0C"/>
      </font>
      <fill>
        <patternFill patternType="solid">
          <fgColor rgb="00F8CBAD"/>
        </patternFill>
      </fill>
    </dxf>
    <dxf>
      <font>
        <color rgb="001E6B30"/>
      </font>
      <fill>
        <patternFill patternType="solid">
          <fgColor rgb="00C6EFCE"/>
        </patternFill>
      </fill>
    </dxf>
    <dxf>
      <font>
        <b val="1"/>
        <color rgb="00C00000"/>
      </font>
    </dxf>
    <dxf>
      <font>
        <color rgb="007F6000"/>
      </font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Budget vs Forecast vs Actual (€)</a:t>
            </a:r>
          </a:p>
        </rich>
      </tx>
    </title>
    <plotArea>
      <barChart>
        <barDir val="col"/>
        <grouping val="clustered"/>
        <ser>
          <idx val="0"/>
          <order val="0"/>
          <tx>
            <v>Budget</v>
          </tx>
          <spPr>
            <a:ln>
              <a:prstDash val="solid"/>
            </a:ln>
          </spPr>
          <cat>
            <numRef>
              <f>'Dashboard Executive'!$A$12:$A$23</f>
            </numRef>
          </cat>
          <val>
            <numRef>
              <f>'Dashboard Executive'!$B$11:$B$23</f>
            </numRef>
          </val>
        </ser>
        <ser>
          <idx val="1"/>
          <order val="1"/>
          <tx>
            <v>Forecast</v>
          </tx>
          <spPr>
            <a:ln>
              <a:prstDash val="solid"/>
            </a:ln>
          </spPr>
          <cat>
            <numRef>
              <f>'Dashboard Executive'!$A$12:$A$23</f>
            </numRef>
          </cat>
          <val>
            <numRef>
              <f>'Dashboard Executive'!$C$11:$C$23</f>
            </numRef>
          </val>
        </ser>
        <ser>
          <idx val="2"/>
          <order val="2"/>
          <tx>
            <v>Actual</v>
          </tx>
          <spPr>
            <a:ln>
              <a:prstDash val="solid"/>
            </a:ln>
          </spPr>
          <cat>
            <numRef>
              <f>'Dashboard Executive'!$A$12:$A$23</f>
            </numRef>
          </cat>
          <val>
            <numRef>
              <f>'Dashboard Executive'!$D$11:$D$23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Distribution by Therapeutic Area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 Executive'!$J$12:$J$19</f>
            </numRef>
          </cat>
          <val>
            <numRef>
              <f>'Dashboard Executive'!$K$12:$K$19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34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Events" displayName="tblEvents" ref="A1:R51" headerRowCount="1">
  <autoFilter ref="A1:R51"/>
  <tableColumns count="18">
    <tableColumn id="1" name="Event ID"/>
    <tableColumn id="2" name="Event Name"/>
    <tableColumn id="3" name="Therapeutic Area"/>
    <tableColumn id="4" name="Product"/>
    <tableColumn id="5" name="Business Unit"/>
    <tableColumn id="6" name="Event Type"/>
    <tableColumn id="7" name="Start Date"/>
    <tableColumn id="8" name="End Date"/>
    <tableColumn id="9" name="Duration (Days)"/>
    <tableColumn id="10" name="City"/>
    <tableColumn id="11" name="Country"/>
    <tableColumn id="12" name="Status"/>
    <tableColumn id="13" name="Responsible Owner"/>
    <tableColumn id="14" name="Cost Center"/>
    <tableColumn id="15" name="GL Account"/>
    <tableColumn id="16" name="Created Date"/>
    <tableColumn id="17" name="Last Modified"/>
    <tableColumn id="18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Budgets" displayName="tblBudgets" ref="A1:V51" headerRowCount="1">
  <autoFilter ref="A1:V51"/>
  <tableColumns count="22">
    <tableColumn id="1" name="Event ID"/>
    <tableColumn id="2" name="Event Name"/>
    <tableColumn id="3" name="Cost Center"/>
    <tableColumn id="4" name="GL Account"/>
    <tableColumn id="5" name="Therapeutic Area"/>
    <tableColumn id="6" name="Business Unit"/>
    <tableColumn id="7" name="Event Type"/>
    <tableColumn id="8" name="Start Date"/>
    <tableColumn id="9" name="Initial Budget (€)"/>
    <tableColumn id="10" name="Approved Budget (€)"/>
    <tableColumn id="11" name="Forecast V1 (€)"/>
    <tableColumn id="12" name="Forecast V2 (€)"/>
    <tableColumn id="13" name="Current Forecast (€)"/>
    <tableColumn id="14" name="Committed (€)"/>
    <tableColumn id="15" name="Actual Spend (€)"/>
    <tableColumn id="16" name="Remaining Budget (€)"/>
    <tableColumn id="17" name="Budget Variance (€)"/>
    <tableColumn id="18" name="Variance %"/>
    <tableColumn id="19" name="Forecast Version"/>
    <tableColumn id="20" name="Budget Status"/>
    <tableColumn id="21" name="Approval Date"/>
    <tableColumn id="22" name="Approved By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blSuppliers" displayName="tblSuppliers" ref="A1:Q149" headerRowCount="1">
  <autoFilter ref="A1:Q149"/>
  <tableColumns count="17">
    <tableColumn id="1" name="Record ID"/>
    <tableColumn id="2" name="Event ID"/>
    <tableColumn id="3" name="Event Name"/>
    <tableColumn id="4" name="Supplier Name"/>
    <tableColumn id="5" name="Category"/>
    <tableColumn id="6" name="Contract Status"/>
    <tableColumn id="7" name="PO Number"/>
    <tableColumn id="8" name="Invoice Number"/>
    <tableColumn id="9" name="Amount (€)"/>
    <tableColumn id="10" name="Currency"/>
    <tableColumn id="11" name="Payment Status"/>
    <tableColumn id="12" name="Due Date"/>
    <tableColumn id="13" name="Risk Indicator"/>
    <tableColumn id="14" name="Payment Terms (Days)"/>
    <tableColumn id="15" name="Overdue Days"/>
    <tableColumn id="16" name="Notes"/>
    <tableColumn id="17" name="Last Updated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tblCosts" displayName="tblCosts" ref="A1:P551" headerRowCount="1">
  <autoFilter ref="A1:P551"/>
  <tableColumns count="16">
    <tableColumn id="1" name="Record ID"/>
    <tableColumn id="2" name="Event ID"/>
    <tableColumn id="3" name="Event Name"/>
    <tableColumn id="4" name="Therapeutic Area"/>
    <tableColumn id="5" name="Business Unit"/>
    <tableColumn id="6" name="Cost Category"/>
    <tableColumn id="7" name="Month"/>
    <tableColumn id="8" name="Quarter"/>
    <tableColumn id="9" name="Budgeted (€)"/>
    <tableColumn id="10" name="Committed (€)"/>
    <tableColumn id="11" name="Actual (€)"/>
    <tableColumn id="12" name="Variance (€)"/>
    <tableColumn id="13" name="Variance %"/>
    <tableColumn id="14" name="Absorption %"/>
    <tableColumn id="15" name="Over/Under"/>
    <tableColumn id="16" name="Status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5" name="tblPOs" displayName="tblPOs" ref="A1:S149" headerRowCount="1">
  <autoFilter ref="A1:S149"/>
  <tableColumns count="19">
    <tableColumn id="1" name="PO Number"/>
    <tableColumn id="2" name="Event ID"/>
    <tableColumn id="3" name="Supplier"/>
    <tableColumn id="4" name="Category"/>
    <tableColumn id="5" name="Request Date"/>
    <tableColumn id="6" name="Approval Date"/>
    <tableColumn id="7" name="Days to Approve"/>
    <tableColumn id="8" name="Amount (€)"/>
    <tableColumn id="9" name="Currency"/>
    <tableColumn id="10" name="Cost Center"/>
    <tableColumn id="11" name="GL Account"/>
    <tableColumn id="12" name="PO Status"/>
    <tableColumn id="13" name="Invoice Number"/>
    <tableColumn id="14" name="Payment Status"/>
    <tableColumn id="15" name="Due Date"/>
    <tableColumn id="16" name="Days Overdue"/>
    <tableColumn id="17" name="Requestor"/>
    <tableColumn id="18" name="Approver"/>
    <tableColumn id="19" name="Notes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R35"/>
  <sheetViews>
    <sheetView showGridLines="0" tabSelected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0" customWidth="1" min="6" max="6"/>
    <col width="8" customWidth="1" min="7" max="7"/>
    <col width="13" customWidth="1" min="8" max="8"/>
    <col width="2" customWidth="1" min="9" max="9"/>
    <col width="28" customWidth="1" min="10" max="10"/>
    <col width="14" customWidth="1" min="11" max="11"/>
    <col width="14" customWidth="1" min="12" max="12"/>
    <col width="12" customWidth="1" min="13" max="13"/>
    <col width="8" customWidth="1" min="14" max="14"/>
    <col width="8" customWidth="1" min="15" max="15"/>
    <col width="8" customWidth="1" min="16" max="16"/>
    <col width="14" customWidth="1" min="17" max="17"/>
  </cols>
  <sheetData>
    <row r="1" ht="40" customHeight="1">
      <c r="A1" s="1" t="inlineStr">
        <is>
          <t>PHARMACEUTICAL EVENTS OPERATIONS  |  EXECUTIVE DASHBOARD  |  FY 2025</t>
        </is>
      </c>
    </row>
    <row r="2" ht="20" customHeight="1">
      <c r="A2" s="2" t="inlineStr">
        <is>
          <t>Generated: 24 June 2026   |   Confidential – For Internal Use Only</t>
        </is>
      </c>
    </row>
    <row r="4" ht="22" customHeight="1">
      <c r="A4" s="3" t="inlineStr">
        <is>
          <t xml:space="preserve">  KEY PERFORMANCE INDICATORS</t>
        </is>
      </c>
    </row>
    <row r="5" ht="28" customHeight="1">
      <c r="A5" s="4" t="inlineStr">
        <is>
          <t>TOTAL BUDGET</t>
        </is>
      </c>
      <c r="B5" s="134" t="n"/>
      <c r="C5" s="4" t="inlineStr">
        <is>
          <t>TOTAL COMMITTED</t>
        </is>
      </c>
      <c r="D5" s="134" t="n"/>
      <c r="E5" s="4" t="inlineStr">
        <is>
          <t>TOTAL ACTUAL</t>
        </is>
      </c>
      <c r="F5" s="134" t="n"/>
      <c r="G5" s="4" t="inlineStr">
        <is>
          <t>CURRENT FORECAST</t>
        </is>
      </c>
      <c r="H5" s="134" t="n"/>
      <c r="I5" s="4" t="inlineStr">
        <is>
          <t>SAVINGS / UNDERSPEND</t>
        </is>
      </c>
      <c r="J5" s="134" t="n"/>
      <c r="K5" s="4" t="inlineStr">
        <is>
          <t>VARIANCE %</t>
        </is>
      </c>
      <c r="L5" s="134" t="n"/>
      <c r="M5" s="4" t="inlineStr">
        <is>
          <t>TOTAL EVENTS</t>
        </is>
      </c>
      <c r="N5" s="134" t="n"/>
      <c r="O5" s="4" t="inlineStr">
        <is>
          <t>ACTIVE EVENTS</t>
        </is>
      </c>
      <c r="P5" s="134" t="n"/>
      <c r="Q5" s="4" t="inlineStr">
        <is>
          <t>COMPLETED</t>
        </is>
      </c>
      <c r="R5" s="134" t="n"/>
    </row>
    <row r="6" ht="36" customHeight="1">
      <c r="A6" s="5">
        <f>SUM('Budget Planning'!$J$2:$J$51)</f>
        <v/>
      </c>
      <c r="B6" s="135" t="n"/>
      <c r="C6" s="5">
        <f>SUM('Budget Planning'!$N$2:$N$51)</f>
        <v/>
      </c>
      <c r="D6" s="135" t="n"/>
      <c r="E6" s="5">
        <f>SUM('Budget Planning'!$O$2:$O$51)</f>
        <v/>
      </c>
      <c r="F6" s="135" t="n"/>
      <c r="G6" s="5">
        <f>SUM('Budget Planning'!$M$2:$M$51)</f>
        <v/>
      </c>
      <c r="H6" s="135" t="n"/>
      <c r="I6" s="136">
        <f>A6-G6</f>
        <v/>
      </c>
      <c r="J6" s="135" t="n"/>
      <c r="K6" s="137">
        <f>IF(A6=0,0,I6/A6)</f>
        <v/>
      </c>
      <c r="L6" s="135" t="n"/>
      <c r="M6" s="7">
        <f>COUNTA('Event Master Database'!$A$2:$A$51)</f>
        <v/>
      </c>
      <c r="N6" s="135" t="n"/>
      <c r="O6" s="7">
        <f>COUNTIF('Event Master Database'!$L$2:$L$51,"Confirmed")+COUNTIF('Event Master Database'!$L$2:$L$51,"In Progress")+COUNTIF('Event Master Database'!$L$2:$L$51,"Planning")</f>
        <v/>
      </c>
      <c r="P6" s="135" t="n"/>
      <c r="Q6" s="7">
        <f>COUNTIF('Event Master Database'!$L$2:$L$51,"Completed")</f>
        <v/>
      </c>
      <c r="R6" s="135" t="n"/>
    </row>
    <row r="7" ht="28" customHeight="1">
      <c r="A7" s="8" t="inlineStr">
        <is>
          <t>CANCELLED</t>
        </is>
      </c>
      <c r="B7" s="138" t="n"/>
      <c r="C7" s="9" t="inlineStr">
        <is>
          <t>ON HOLD</t>
        </is>
      </c>
      <c r="D7" s="138" t="n"/>
      <c r="E7" s="10" t="inlineStr">
        <is>
          <t>HIGH RISK SUPS</t>
        </is>
      </c>
      <c r="F7" s="138" t="n"/>
      <c r="G7" s="10" t="inlineStr">
        <is>
          <t>OVERDUE INVOICES</t>
        </is>
      </c>
      <c r="H7" s="138" t="n"/>
      <c r="I7" s="11" t="inlineStr">
        <is>
          <t>TOTAL POs</t>
        </is>
      </c>
      <c r="J7" s="138" t="n"/>
      <c r="K7" s="12" t="inlineStr">
        <is>
          <t>FORECAST ACCURACY</t>
        </is>
      </c>
      <c r="L7" s="138" t="n"/>
      <c r="M7" s="11" t="inlineStr">
        <is>
          <t>TOTAL SUPPLIERS</t>
        </is>
      </c>
      <c r="N7" s="138" t="n"/>
      <c r="O7" s="13" t="inlineStr">
        <is>
          <t>AVG EVENT BUDGET</t>
        </is>
      </c>
      <c r="P7" s="138" t="n"/>
      <c r="Q7" s="8" t="inlineStr">
        <is>
          <t>BUDGET UTILIZATION</t>
        </is>
      </c>
      <c r="R7" s="138" t="n"/>
    </row>
    <row r="8" ht="28" customHeight="1">
      <c r="A8" s="14">
        <f>COUNTIF('Event Master Database'!$L$2:$L$51,"Cancelled")</f>
        <v/>
      </c>
      <c r="B8" s="139" t="n"/>
      <c r="C8" s="14">
        <f>COUNTIF('Event Master Database'!$L$2:$L$51,"On Hold")</f>
        <v/>
      </c>
      <c r="D8" s="139" t="n"/>
      <c r="E8" s="14">
        <f>COUNTIF('Supplier Management'!$M$2:$M$149,"High")</f>
        <v/>
      </c>
      <c r="F8" s="139" t="n"/>
      <c r="G8" s="14">
        <f>COUNTIF('PO Tracking'!$N$2:$N$149,"Overdue")</f>
        <v/>
      </c>
      <c r="H8" s="139" t="n"/>
      <c r="I8" s="14">
        <f>COUNTA('PO Tracking'!$A$2:$A$149)</f>
        <v/>
      </c>
      <c r="J8" s="139" t="n"/>
      <c r="K8" s="140">
        <f>1-ABS(K6)</f>
        <v/>
      </c>
      <c r="L8" s="139" t="n"/>
      <c r="M8" s="14">
        <f>SUMPRODUCT(1/COUNTIF('Supplier Management'!$D$2:$D$149,'Supplier Management'!$D$2:$D$149))</f>
        <v/>
      </c>
      <c r="N8" s="139" t="n"/>
      <c r="O8" s="16">
        <f>IF(M6=0,0,A6/M6)</f>
        <v/>
      </c>
      <c r="P8" s="139" t="n"/>
      <c r="Q8" s="15">
        <f>IF(A6=0,0,C6/A6)</f>
        <v/>
      </c>
      <c r="R8" s="139" t="n"/>
    </row>
    <row r="10" ht="22" customHeight="1">
      <c r="A10" s="3" t="inlineStr">
        <is>
          <t xml:space="preserve">  MONTHLY BUDGET VS FORECAST TREND (2025)</t>
        </is>
      </c>
      <c r="J10" s="3" t="inlineStr">
        <is>
          <t xml:space="preserve">  BUDGET BY THERAPEUTIC AREA</t>
        </is>
      </c>
    </row>
    <row r="11" ht="20" customHeight="1">
      <c r="A11" s="17" t="inlineStr">
        <is>
          <t>Month</t>
        </is>
      </c>
      <c r="B11" s="17" t="inlineStr">
        <is>
          <t>Budget (€)</t>
        </is>
      </c>
      <c r="C11" s="17" t="inlineStr">
        <is>
          <t>Forecast (€)</t>
        </is>
      </c>
      <c r="D11" s="17" t="inlineStr">
        <is>
          <t>Actual (€)</t>
        </is>
      </c>
      <c r="E11" s="17" t="inlineStr">
        <is>
          <t>Variance (€)</t>
        </is>
      </c>
      <c r="F11" s="17" t="inlineStr">
        <is>
          <t>Var %</t>
        </is>
      </c>
      <c r="G11" s="17" t="inlineStr">
        <is>
          <t>Events</t>
        </is>
      </c>
      <c r="H11" s="17" t="inlineStr">
        <is>
          <t>Status</t>
        </is>
      </c>
      <c r="J11" s="17" t="inlineStr">
        <is>
          <t>Therapeutic Area</t>
        </is>
      </c>
      <c r="K11" s="17" t="inlineStr">
        <is>
          <t>Budget (€)</t>
        </is>
      </c>
      <c r="L11" s="17" t="inlineStr">
        <is>
          <t>Committed (€)</t>
        </is>
      </c>
      <c r="M11" s="17" t="inlineStr">
        <is>
          <t>Utilization %</t>
        </is>
      </c>
      <c r="N11" s="17" t="inlineStr">
        <is>
          <t>Events</t>
        </is>
      </c>
    </row>
    <row r="12" ht="18" customHeight="1">
      <c r="A12" s="18" t="inlineStr">
        <is>
          <t>Jan</t>
        </is>
      </c>
      <c r="B12" s="19">
        <f>SUMPRODUCT((MONTH('Budget Planning'!$H$2:$H$51)=1)*(YEAR('Budget Planning'!$H$2:$H$51)=2025)*'Budget Planning'!$J$2:$J$51)</f>
        <v/>
      </c>
      <c r="C12" s="19">
        <f>SUMPRODUCT((MONTH('Budget Planning'!$H$2:$H$51)=1)*(YEAR('Budget Planning'!$H$2:$H$51)=2025)*'Budget Planning'!$M$2:$M$51)</f>
        <v/>
      </c>
      <c r="D12" s="19">
        <f>SUMPRODUCT((MONTH('Budget Planning'!$H$2:$H$51)=1)*(YEAR('Budget Planning'!$H$2:$H$51)=2025)*'Budget Planning'!$O$2:$O$51)</f>
        <v/>
      </c>
      <c r="E12" s="141">
        <f>B12-C12</f>
        <v/>
      </c>
      <c r="F12" s="142">
        <f>IF(B12=0,0,E12/B12)</f>
        <v/>
      </c>
      <c r="G12" s="143">
        <f>SUMPRODUCT((MONTH('Budget Planning'!$H$2:$H$51)=1)*(YEAR('Budget Planning'!$H$2:$H$51)=2025)*1)</f>
        <v/>
      </c>
      <c r="H12" s="21">
        <f>IF(F12&lt;-0.05,"At Risk","On Track")</f>
        <v/>
      </c>
      <c r="J12" s="22" t="inlineStr">
        <is>
          <t>Immunology</t>
        </is>
      </c>
      <c r="K12" s="19">
        <f>SUMIF('Budget Planning'!$E$2:$E$51,$J12,'Budget Planning'!$J$2:$J$51)</f>
        <v/>
      </c>
      <c r="L12" s="19">
        <f>SUMIF('Budget Planning'!$E$2:$E$51,$J12,'Budget Planning'!$N$2:$N$51)</f>
        <v/>
      </c>
      <c r="M12" s="20">
        <f>IF(K12=0,0,L12/K12)</f>
        <v/>
      </c>
      <c r="N12" s="143">
        <f>COUNTIF('Budget Planning'!$E$2:$E$51,$J12)</f>
        <v/>
      </c>
    </row>
    <row r="13" ht="18" customHeight="1">
      <c r="A13" s="23" t="inlineStr">
        <is>
          <t>Feb</t>
        </is>
      </c>
      <c r="B13" s="24">
        <f>SUMPRODUCT((MONTH('Budget Planning'!$H$2:$H$51)=2)*(YEAR('Budget Planning'!$H$2:$H$51)=2025)*'Budget Planning'!$J$2:$J$51)</f>
        <v/>
      </c>
      <c r="C13" s="24">
        <f>SUMPRODUCT((MONTH('Budget Planning'!$H$2:$H$51)=2)*(YEAR('Budget Planning'!$H$2:$H$51)=2025)*'Budget Planning'!$M$2:$M$51)</f>
        <v/>
      </c>
      <c r="D13" s="24">
        <f>SUMPRODUCT((MONTH('Budget Planning'!$H$2:$H$51)=2)*(YEAR('Budget Planning'!$H$2:$H$51)=2025)*'Budget Planning'!$O$2:$O$51)</f>
        <v/>
      </c>
      <c r="E13" s="144">
        <f>B13-C13</f>
        <v/>
      </c>
      <c r="F13" s="145">
        <f>IF(B13=0,0,E13/B13)</f>
        <v/>
      </c>
      <c r="G13" s="146">
        <f>SUMPRODUCT((MONTH('Budget Planning'!$H$2:$H$51)=2)*(YEAR('Budget Planning'!$H$2:$H$51)=2025)*1)</f>
        <v/>
      </c>
      <c r="H13" s="26">
        <f>IF(F13&lt;-0.05,"At Risk","On Track")</f>
        <v/>
      </c>
      <c r="J13" s="27" t="inlineStr">
        <is>
          <t>Neurology</t>
        </is>
      </c>
      <c r="K13" s="24">
        <f>SUMIF('Budget Planning'!$E$2:$E$51,$J13,'Budget Planning'!$J$2:$J$51)</f>
        <v/>
      </c>
      <c r="L13" s="24">
        <f>SUMIF('Budget Planning'!$E$2:$E$51,$J13,'Budget Planning'!$N$2:$N$51)</f>
        <v/>
      </c>
      <c r="M13" s="28">
        <f>IF(K13=0,0,L13/K13)</f>
        <v/>
      </c>
      <c r="N13" s="146">
        <f>COUNTIF('Budget Planning'!$E$2:$E$51,$J13)</f>
        <v/>
      </c>
    </row>
    <row r="14" ht="18" customHeight="1">
      <c r="A14" s="18" t="inlineStr">
        <is>
          <t>Mar</t>
        </is>
      </c>
      <c r="B14" s="19">
        <f>SUMPRODUCT((MONTH('Budget Planning'!$H$2:$H$51)=3)*(YEAR('Budget Planning'!$H$2:$H$51)=2025)*'Budget Planning'!$J$2:$J$51)</f>
        <v/>
      </c>
      <c r="C14" s="19">
        <f>SUMPRODUCT((MONTH('Budget Planning'!$H$2:$H$51)=3)*(YEAR('Budget Planning'!$H$2:$H$51)=2025)*'Budget Planning'!$M$2:$M$51)</f>
        <v/>
      </c>
      <c r="D14" s="19">
        <f>SUMPRODUCT((MONTH('Budget Planning'!$H$2:$H$51)=3)*(YEAR('Budget Planning'!$H$2:$H$51)=2025)*'Budget Planning'!$O$2:$O$51)</f>
        <v/>
      </c>
      <c r="E14" s="141">
        <f>B14-C14</f>
        <v/>
      </c>
      <c r="F14" s="142">
        <f>IF(B14=0,0,E14/B14)</f>
        <v/>
      </c>
      <c r="G14" s="143">
        <f>SUMPRODUCT((MONTH('Budget Planning'!$H$2:$H$51)=3)*(YEAR('Budget Planning'!$H$2:$H$51)=2025)*1)</f>
        <v/>
      </c>
      <c r="H14" s="21">
        <f>IF(F14&lt;-0.05,"At Risk","On Track")</f>
        <v/>
      </c>
      <c r="J14" s="22" t="inlineStr">
        <is>
          <t>Rare Diseases</t>
        </is>
      </c>
      <c r="K14" s="19">
        <f>SUMIF('Budget Planning'!$E$2:$E$51,$J14,'Budget Planning'!$J$2:$J$51)</f>
        <v/>
      </c>
      <c r="L14" s="19">
        <f>SUMIF('Budget Planning'!$E$2:$E$51,$J14,'Budget Planning'!$N$2:$N$51)</f>
        <v/>
      </c>
      <c r="M14" s="29">
        <f>IF(K14=0,0,L14/K14)</f>
        <v/>
      </c>
      <c r="N14" s="143">
        <f>COUNTIF('Budget Planning'!$E$2:$E$51,$J14)</f>
        <v/>
      </c>
    </row>
    <row r="15" ht="18" customHeight="1">
      <c r="A15" s="23" t="inlineStr">
        <is>
          <t>Apr</t>
        </is>
      </c>
      <c r="B15" s="24">
        <f>SUMPRODUCT((MONTH('Budget Planning'!$H$2:$H$51)=4)*(YEAR('Budget Planning'!$H$2:$H$51)=2025)*'Budget Planning'!$J$2:$J$51)</f>
        <v/>
      </c>
      <c r="C15" s="24">
        <f>SUMPRODUCT((MONTH('Budget Planning'!$H$2:$H$51)=4)*(YEAR('Budget Planning'!$H$2:$H$51)=2025)*'Budget Planning'!$M$2:$M$51)</f>
        <v/>
      </c>
      <c r="D15" s="24">
        <f>SUMPRODUCT((MONTH('Budget Planning'!$H$2:$H$51)=4)*(YEAR('Budget Planning'!$H$2:$H$51)=2025)*'Budget Planning'!$O$2:$O$51)</f>
        <v/>
      </c>
      <c r="E15" s="144">
        <f>B15-C15</f>
        <v/>
      </c>
      <c r="F15" s="147">
        <f>IF(B15=0,0,E15/B15)</f>
        <v/>
      </c>
      <c r="G15" s="146">
        <f>SUMPRODUCT((MONTH('Budget Planning'!$H$2:$H$51)=4)*(YEAR('Budget Planning'!$H$2:$H$51)=2025)*1)</f>
        <v/>
      </c>
      <c r="H15" s="26">
        <f>IF(F15&lt;-0.05,"At Risk","On Track")</f>
        <v/>
      </c>
      <c r="J15" s="27" t="inlineStr">
        <is>
          <t>Cardiology</t>
        </is>
      </c>
      <c r="K15" s="24">
        <f>SUMIF('Budget Planning'!$E$2:$E$51,$J15,'Budget Planning'!$J$2:$J$51)</f>
        <v/>
      </c>
      <c r="L15" s="24">
        <f>SUMIF('Budget Planning'!$E$2:$E$51,$J15,'Budget Planning'!$N$2:$N$51)</f>
        <v/>
      </c>
      <c r="M15" s="25">
        <f>IF(K15=0,0,L15/K15)</f>
        <v/>
      </c>
      <c r="N15" s="146">
        <f>COUNTIF('Budget Planning'!$E$2:$E$51,$J15)</f>
        <v/>
      </c>
    </row>
    <row r="16" ht="18" customHeight="1">
      <c r="A16" s="18" t="inlineStr">
        <is>
          <t>May</t>
        </is>
      </c>
      <c r="B16" s="19">
        <f>SUMPRODUCT((MONTH('Budget Planning'!$H$2:$H$51)=5)*(YEAR('Budget Planning'!$H$2:$H$51)=2025)*'Budget Planning'!$J$2:$J$51)</f>
        <v/>
      </c>
      <c r="C16" s="19">
        <f>SUMPRODUCT((MONTH('Budget Planning'!$H$2:$H$51)=5)*(YEAR('Budget Planning'!$H$2:$H$51)=2025)*'Budget Planning'!$M$2:$M$51)</f>
        <v/>
      </c>
      <c r="D16" s="19">
        <f>SUMPRODUCT((MONTH('Budget Planning'!$H$2:$H$51)=5)*(YEAR('Budget Planning'!$H$2:$H$51)=2025)*'Budget Planning'!$O$2:$O$51)</f>
        <v/>
      </c>
      <c r="E16" s="141">
        <f>B16-C16</f>
        <v/>
      </c>
      <c r="F16" s="142">
        <f>IF(B16=0,0,E16/B16)</f>
        <v/>
      </c>
      <c r="G16" s="143">
        <f>SUMPRODUCT((MONTH('Budget Planning'!$H$2:$H$51)=5)*(YEAR('Budget Planning'!$H$2:$H$51)=2025)*1)</f>
        <v/>
      </c>
      <c r="H16" s="21">
        <f>IF(F16&lt;-0.05,"At Risk","On Track")</f>
        <v/>
      </c>
      <c r="J16" s="22" t="inlineStr">
        <is>
          <t>Oncology</t>
        </is>
      </c>
      <c r="K16" s="19">
        <f>SUMIF('Budget Planning'!$E$2:$E$51,$J16,'Budget Planning'!$J$2:$J$51)</f>
        <v/>
      </c>
      <c r="L16" s="19">
        <f>SUMIF('Budget Planning'!$E$2:$E$51,$J16,'Budget Planning'!$N$2:$N$51)</f>
        <v/>
      </c>
      <c r="M16" s="29">
        <f>IF(K16=0,0,L16/K16)</f>
        <v/>
      </c>
      <c r="N16" s="143">
        <f>COUNTIF('Budget Planning'!$E$2:$E$51,$J16)</f>
        <v/>
      </c>
    </row>
    <row r="17" ht="18" customHeight="1">
      <c r="A17" s="23" t="inlineStr">
        <is>
          <t>Jun</t>
        </is>
      </c>
      <c r="B17" s="24">
        <f>SUMPRODUCT((MONTH('Budget Planning'!$H$2:$H$51)=6)*(YEAR('Budget Planning'!$H$2:$H$51)=2025)*'Budget Planning'!$J$2:$J$51)</f>
        <v/>
      </c>
      <c r="C17" s="24">
        <f>SUMPRODUCT((MONTH('Budget Planning'!$H$2:$H$51)=6)*(YEAR('Budget Planning'!$H$2:$H$51)=2025)*'Budget Planning'!$M$2:$M$51)</f>
        <v/>
      </c>
      <c r="D17" s="24">
        <f>SUMPRODUCT((MONTH('Budget Planning'!$H$2:$H$51)=6)*(YEAR('Budget Planning'!$H$2:$H$51)=2025)*'Budget Planning'!$O$2:$O$51)</f>
        <v/>
      </c>
      <c r="E17" s="144">
        <f>B17-C17</f>
        <v/>
      </c>
      <c r="F17" s="145">
        <f>IF(B17=0,0,E17/B17)</f>
        <v/>
      </c>
      <c r="G17" s="146">
        <f>SUMPRODUCT((MONTH('Budget Planning'!$H$2:$H$51)=6)*(YEAR('Budget Planning'!$H$2:$H$51)=2025)*1)</f>
        <v/>
      </c>
      <c r="H17" s="26">
        <f>IF(F17&lt;-0.05,"At Risk","On Track")</f>
        <v/>
      </c>
      <c r="J17" s="27" t="inlineStr">
        <is>
          <t>Infectious Diseases</t>
        </is>
      </c>
      <c r="K17" s="24">
        <f>SUMIF('Budget Planning'!$E$2:$E$51,$J17,'Budget Planning'!$J$2:$J$51)</f>
        <v/>
      </c>
      <c r="L17" s="24">
        <f>SUMIF('Budget Planning'!$E$2:$E$51,$J17,'Budget Planning'!$N$2:$N$51)</f>
        <v/>
      </c>
      <c r="M17" s="28">
        <f>IF(K17=0,0,L17/K17)</f>
        <v/>
      </c>
      <c r="N17" s="146">
        <f>COUNTIF('Budget Planning'!$E$2:$E$51,$J17)</f>
        <v/>
      </c>
    </row>
    <row r="18" ht="18" customHeight="1">
      <c r="A18" s="18" t="inlineStr">
        <is>
          <t>Jul</t>
        </is>
      </c>
      <c r="B18" s="19">
        <f>SUMPRODUCT((MONTH('Budget Planning'!$H$2:$H$51)=7)*(YEAR('Budget Planning'!$H$2:$H$51)=2025)*'Budget Planning'!$J$2:$J$51)</f>
        <v/>
      </c>
      <c r="C18" s="19">
        <f>SUMPRODUCT((MONTH('Budget Planning'!$H$2:$H$51)=7)*(YEAR('Budget Planning'!$H$2:$H$51)=2025)*'Budget Planning'!$M$2:$M$51)</f>
        <v/>
      </c>
      <c r="D18" s="19">
        <f>SUMPRODUCT((MONTH('Budget Planning'!$H$2:$H$51)=7)*(YEAR('Budget Planning'!$H$2:$H$51)=2025)*'Budget Planning'!$O$2:$O$51)</f>
        <v/>
      </c>
      <c r="E18" s="141">
        <f>B18-C18</f>
        <v/>
      </c>
      <c r="F18" s="142">
        <f>IF(B18=0,0,E18/B18)</f>
        <v/>
      </c>
      <c r="G18" s="143">
        <f>SUMPRODUCT((MONTH('Budget Planning'!$H$2:$H$51)=7)*(YEAR('Budget Planning'!$H$2:$H$51)=2025)*1)</f>
        <v/>
      </c>
      <c r="H18" s="21">
        <f>IF(F18&lt;-0.05,"At Risk","On Track")</f>
        <v/>
      </c>
      <c r="J18" s="22" t="inlineStr">
        <is>
          <t>Hematology</t>
        </is>
      </c>
      <c r="K18" s="19">
        <f>SUMIF('Budget Planning'!$E$2:$E$51,$J18,'Budget Planning'!$J$2:$J$51)</f>
        <v/>
      </c>
      <c r="L18" s="19">
        <f>SUMIF('Budget Planning'!$E$2:$E$51,$J18,'Budget Planning'!$N$2:$N$51)</f>
        <v/>
      </c>
      <c r="M18" s="29">
        <f>IF(K18=0,0,L18/K18)</f>
        <v/>
      </c>
      <c r="N18" s="143">
        <f>COUNTIF('Budget Planning'!$E$2:$E$51,$J18)</f>
        <v/>
      </c>
    </row>
    <row r="19" ht="18" customHeight="1">
      <c r="A19" s="23" t="inlineStr">
        <is>
          <t>Aug</t>
        </is>
      </c>
      <c r="B19" s="24">
        <f>SUMPRODUCT((MONTH('Budget Planning'!$H$2:$H$51)=8)*(YEAR('Budget Planning'!$H$2:$H$51)=2025)*'Budget Planning'!$J$2:$J$51)</f>
        <v/>
      </c>
      <c r="C19" s="24">
        <f>SUMPRODUCT((MONTH('Budget Planning'!$H$2:$H$51)=8)*(YEAR('Budget Planning'!$H$2:$H$51)=2025)*'Budget Planning'!$M$2:$M$51)</f>
        <v/>
      </c>
      <c r="D19" s="24">
        <f>SUMPRODUCT((MONTH('Budget Planning'!$H$2:$H$51)=8)*(YEAR('Budget Planning'!$H$2:$H$51)=2025)*'Budget Planning'!$O$2:$O$51)</f>
        <v/>
      </c>
      <c r="E19" s="144">
        <f>B19-C19</f>
        <v/>
      </c>
      <c r="F19" s="145">
        <f>IF(B19=0,0,E19/B19)</f>
        <v/>
      </c>
      <c r="G19" s="146">
        <f>SUMPRODUCT((MONTH('Budget Planning'!$H$2:$H$51)=8)*(YEAR('Budget Planning'!$H$2:$H$51)=2025)*1)</f>
        <v/>
      </c>
      <c r="H19" s="30">
        <f>IF(F19&lt;-0.05,"At Risk","On Track")</f>
        <v/>
      </c>
      <c r="J19" s="27" t="inlineStr">
        <is>
          <t>Gastroenterology</t>
        </is>
      </c>
      <c r="K19" s="24">
        <f>SUMIF('Budget Planning'!$E$2:$E$51,$J19,'Budget Planning'!$J$2:$J$51)</f>
        <v/>
      </c>
      <c r="L19" s="24">
        <f>SUMIF('Budget Planning'!$E$2:$E$51,$J19,'Budget Planning'!$N$2:$N$51)</f>
        <v/>
      </c>
      <c r="M19" s="28">
        <f>IF(K19=0,0,L19/K19)</f>
        <v/>
      </c>
      <c r="N19" s="146">
        <f>COUNTIF('Budget Planning'!$E$2:$E$51,$J19)</f>
        <v/>
      </c>
    </row>
    <row r="20" ht="18" customHeight="1">
      <c r="A20" s="18" t="inlineStr">
        <is>
          <t>Sep</t>
        </is>
      </c>
      <c r="B20" s="19">
        <f>SUMPRODUCT((MONTH('Budget Planning'!$H$2:$H$51)=9)*(YEAR('Budget Planning'!$H$2:$H$51)=2025)*'Budget Planning'!$J$2:$J$51)</f>
        <v/>
      </c>
      <c r="C20" s="19">
        <f>SUMPRODUCT((MONTH('Budget Planning'!$H$2:$H$51)=9)*(YEAR('Budget Planning'!$H$2:$H$51)=2025)*'Budget Planning'!$M$2:$M$51)</f>
        <v/>
      </c>
      <c r="D20" s="19">
        <f>SUMPRODUCT((MONTH('Budget Planning'!$H$2:$H$51)=9)*(YEAR('Budget Planning'!$H$2:$H$51)=2025)*'Budget Planning'!$O$2:$O$51)</f>
        <v/>
      </c>
      <c r="E20" s="141">
        <f>B20-C20</f>
        <v/>
      </c>
      <c r="F20" s="142">
        <f>IF(B20=0,0,E20/B20)</f>
        <v/>
      </c>
      <c r="G20" s="143">
        <f>SUMPRODUCT((MONTH('Budget Planning'!$H$2:$H$51)=9)*(YEAR('Budget Planning'!$H$2:$H$51)=2025)*1)</f>
        <v/>
      </c>
      <c r="H20" s="31">
        <f>IF(F20&lt;-0.05,"At Risk","On Track")</f>
        <v/>
      </c>
    </row>
    <row r="21" ht="18" customHeight="1">
      <c r="A21" s="23" t="inlineStr">
        <is>
          <t>Oct</t>
        </is>
      </c>
      <c r="B21" s="24">
        <f>SUMPRODUCT((MONTH('Budget Planning'!$H$2:$H$51)=10)*(YEAR('Budget Planning'!$H$2:$H$51)=2025)*'Budget Planning'!$J$2:$J$51)</f>
        <v/>
      </c>
      <c r="C21" s="24">
        <f>SUMPRODUCT((MONTH('Budget Planning'!$H$2:$H$51)=10)*(YEAR('Budget Planning'!$H$2:$H$51)=2025)*'Budget Planning'!$M$2:$M$51)</f>
        <v/>
      </c>
      <c r="D21" s="24">
        <f>SUMPRODUCT((MONTH('Budget Planning'!$H$2:$H$51)=10)*(YEAR('Budget Planning'!$H$2:$H$51)=2025)*'Budget Planning'!$O$2:$O$51)</f>
        <v/>
      </c>
      <c r="E21" s="144">
        <f>B21-C21</f>
        <v/>
      </c>
      <c r="F21" s="145">
        <f>IF(B21=0,0,E21/B21)</f>
        <v/>
      </c>
      <c r="G21" s="146">
        <f>SUMPRODUCT((MONTH('Budget Planning'!$H$2:$H$51)=10)*(YEAR('Budget Planning'!$H$2:$H$51)=2025)*1)</f>
        <v/>
      </c>
      <c r="H21" s="26">
        <f>IF(F21&lt;-0.05,"At Risk","On Track")</f>
        <v/>
      </c>
    </row>
    <row r="22" ht="18" customHeight="1">
      <c r="A22" s="18" t="inlineStr">
        <is>
          <t>Nov</t>
        </is>
      </c>
      <c r="B22" s="19">
        <f>SUMPRODUCT((MONTH('Budget Planning'!$H$2:$H$51)=11)*(YEAR('Budget Planning'!$H$2:$H$51)=2025)*'Budget Planning'!$J$2:$J$51)</f>
        <v/>
      </c>
      <c r="C22" s="19">
        <f>SUMPRODUCT((MONTH('Budget Planning'!$H$2:$H$51)=11)*(YEAR('Budget Planning'!$H$2:$H$51)=2025)*'Budget Planning'!$M$2:$M$51)</f>
        <v/>
      </c>
      <c r="D22" s="19">
        <f>SUMPRODUCT((MONTH('Budget Planning'!$H$2:$H$51)=11)*(YEAR('Budget Planning'!$H$2:$H$51)=2025)*'Budget Planning'!$O$2:$O$51)</f>
        <v/>
      </c>
      <c r="E22" s="141">
        <f>B22-C22</f>
        <v/>
      </c>
      <c r="F22" s="142">
        <f>IF(B22=0,0,E22/B22)</f>
        <v/>
      </c>
      <c r="G22" s="143">
        <f>SUMPRODUCT((MONTH('Budget Planning'!$H$2:$H$51)=11)*(YEAR('Budget Planning'!$H$2:$H$51)=2025)*1)</f>
        <v/>
      </c>
      <c r="H22" s="31">
        <f>IF(F22&lt;-0.05,"At Risk","On Track")</f>
        <v/>
      </c>
    </row>
    <row r="23" ht="18" customHeight="1">
      <c r="A23" s="23" t="inlineStr">
        <is>
          <t>Dec</t>
        </is>
      </c>
      <c r="B23" s="24">
        <f>SUMPRODUCT((MONTH('Budget Planning'!$H$2:$H$51)=12)*(YEAR('Budget Planning'!$H$2:$H$51)=2025)*'Budget Planning'!$J$2:$J$51)</f>
        <v/>
      </c>
      <c r="C23" s="24">
        <f>SUMPRODUCT((MONTH('Budget Planning'!$H$2:$H$51)=12)*(YEAR('Budget Planning'!$H$2:$H$51)=2025)*'Budget Planning'!$M$2:$M$51)</f>
        <v/>
      </c>
      <c r="D23" s="24">
        <f>SUMPRODUCT((MONTH('Budget Planning'!$H$2:$H$51)=12)*(YEAR('Budget Planning'!$H$2:$H$51)=2025)*'Budget Planning'!$O$2:$O$51)</f>
        <v/>
      </c>
      <c r="E23" s="144">
        <f>B23-C23</f>
        <v/>
      </c>
      <c r="F23" s="145">
        <f>IF(B23=0,0,E23/B23)</f>
        <v/>
      </c>
      <c r="G23" s="146">
        <f>SUMPRODUCT((MONTH('Budget Planning'!$H$2:$H$51)=12)*(YEAR('Budget Planning'!$H$2:$H$51)=2025)*1)</f>
        <v/>
      </c>
      <c r="H23" s="26">
        <f>IF(F23&lt;-0.05,"At Risk","On Track")</f>
        <v/>
      </c>
    </row>
    <row r="26" ht="22" customHeight="1">
      <c r="A26" s="3" t="inlineStr">
        <is>
          <t xml:space="preserve">  EVENT STATUS DISTRIBUTION</t>
        </is>
      </c>
      <c r="J26" s="3" t="inlineStr">
        <is>
          <t xml:space="preserve">  TOP 8 SUPPLIERS BY COMMITTED SPEND</t>
        </is>
      </c>
    </row>
    <row r="27">
      <c r="A27" s="17" t="inlineStr">
        <is>
          <t>Status</t>
        </is>
      </c>
      <c r="B27" s="17" t="inlineStr">
        <is>
          <t>Count</t>
        </is>
      </c>
      <c r="C27" s="17" t="inlineStr">
        <is>
          <t>% of Total</t>
        </is>
      </c>
      <c r="D27" s="17" t="inlineStr">
        <is>
          <t>Budget (€)</t>
        </is>
      </c>
      <c r="E27" s="17" t="inlineStr">
        <is>
          <t>Avg Budget (€)</t>
        </is>
      </c>
      <c r="J27" s="17" t="inlineStr">
        <is>
          <t>Supplier</t>
        </is>
      </c>
      <c r="K27" s="17" t="inlineStr">
        <is>
          <t>Category</t>
        </is>
      </c>
      <c r="L27" s="17" t="inlineStr">
        <is>
          <t>Committed (€)</t>
        </is>
      </c>
      <c r="M27" s="17" t="inlineStr">
        <is>
          <t>Share %</t>
        </is>
      </c>
      <c r="N27" s="17" t="inlineStr">
        <is>
          <t>Risk</t>
        </is>
      </c>
    </row>
    <row r="28" ht="18" customHeight="1">
      <c r="A28" s="32" t="inlineStr">
        <is>
          <t>Completed</t>
        </is>
      </c>
      <c r="B28" s="148">
        <f>COUNTIF('Event Master Database'!$L$2:$L$51,$A28)</f>
        <v/>
      </c>
      <c r="C28" s="34">
        <f>IF(SUM($B$28:$B$34)=0,0,B28/SUM($B$28:$B$34))</f>
        <v/>
      </c>
      <c r="D28" s="19">
        <f>SUMPRODUCT(('Event Master Database'!$L$2:$L$51=$A28)*'Budget Planning'!$J$2:$J$51)</f>
        <v/>
      </c>
      <c r="E28" s="19">
        <f>IF(B28=0,0,D28/B28)</f>
        <v/>
      </c>
      <c r="J28" s="22" t="inlineStr">
        <is>
          <t>TechEvent Systems</t>
        </is>
      </c>
      <c r="K28" s="22" t="inlineStr">
        <is>
          <t>Registration &amp; Tech</t>
        </is>
      </c>
      <c r="L28" s="19">
        <f>SUMIF('Supplier Management'!$D$2:$D$149,$J28,'Supplier Management'!$I$2:$I$149)</f>
        <v/>
      </c>
      <c r="M28" s="149">
        <f>IF(SUM('Supplier Management'!$I$2:$I$149)=0,0,L28/SUM('Supplier Management'!$I$2:$I$149))</f>
        <v/>
      </c>
      <c r="N28" s="35" t="inlineStr">
        <is>
          <t>High</t>
        </is>
      </c>
    </row>
    <row r="29" ht="18" customHeight="1">
      <c r="A29" s="36" t="inlineStr">
        <is>
          <t>Confirmed</t>
        </is>
      </c>
      <c r="B29" s="150">
        <f>COUNTIF('Event Master Database'!$L$2:$L$51,$A29)</f>
        <v/>
      </c>
      <c r="C29" s="38">
        <f>IF(SUM($B$28:$B$34)=0,0,B29/SUM($B$28:$B$34))</f>
        <v/>
      </c>
      <c r="D29" s="24">
        <f>SUMPRODUCT(('Event Master Database'!$L$2:$L$51=$A29)*'Budget Planning'!$J$2:$J$51)</f>
        <v/>
      </c>
      <c r="E29" s="24">
        <f>IF(B29=0,0,D29/B29)</f>
        <v/>
      </c>
      <c r="J29" s="27" t="inlineStr">
        <is>
          <t>Translingua Pro</t>
        </is>
      </c>
      <c r="K29" s="27" t="inlineStr">
        <is>
          <t>Translation &amp; Interpretation</t>
        </is>
      </c>
      <c r="L29" s="24">
        <f>SUMIF('Supplier Management'!$D$2:$D$149,$J29,'Supplier Management'!$I$2:$I$149)</f>
        <v/>
      </c>
      <c r="M29" s="151">
        <f>IF(SUM('Supplier Management'!$I$2:$I$149)=0,0,L29/SUM('Supplier Management'!$I$2:$I$149))</f>
        <v/>
      </c>
      <c r="N29" s="39" t="inlineStr">
        <is>
          <t>High</t>
        </is>
      </c>
    </row>
    <row r="30" ht="18" customHeight="1">
      <c r="A30" s="40" t="inlineStr">
        <is>
          <t>Cancelled</t>
        </is>
      </c>
      <c r="B30" s="148">
        <f>COUNTIF('Event Master Database'!$L$2:$L$51,$A30)</f>
        <v/>
      </c>
      <c r="C30" s="34">
        <f>IF(SUM($B$28:$B$34)=0,0,B30/SUM($B$28:$B$34))</f>
        <v/>
      </c>
      <c r="D30" s="19">
        <f>SUMPRODUCT(('Event Master Database'!$L$2:$L$51=$A30)*'Budget Planning'!$J$2:$J$51)</f>
        <v/>
      </c>
      <c r="E30" s="19">
        <f>IF(B30=0,0,D30/B30)</f>
        <v/>
      </c>
      <c r="J30" s="22" t="inlineStr">
        <is>
          <t>InterCongress PCO</t>
        </is>
      </c>
      <c r="K30" s="22" t="inlineStr">
        <is>
          <t>PCO / Event Agency</t>
        </is>
      </c>
      <c r="L30" s="19">
        <f>SUMIF('Supplier Management'!$D$2:$D$149,$J30,'Supplier Management'!$I$2:$I$149)</f>
        <v/>
      </c>
      <c r="M30" s="149">
        <f>IF(SUM('Supplier Management'!$I$2:$I$149)=0,0,L30/SUM('Supplier Management'!$I$2:$I$149))</f>
        <v/>
      </c>
      <c r="N30" s="21" t="inlineStr">
        <is>
          <t>Medium</t>
        </is>
      </c>
    </row>
    <row r="31" ht="18" customHeight="1">
      <c r="A31" s="41" t="inlineStr">
        <is>
          <t>In Progress</t>
        </is>
      </c>
      <c r="B31" s="150">
        <f>COUNTIF('Event Master Database'!$L$2:$L$51,$A31)</f>
        <v/>
      </c>
      <c r="C31" s="38">
        <f>IF(SUM($B$28:$B$34)=0,0,B31/SUM($B$28:$B$34))</f>
        <v/>
      </c>
      <c r="D31" s="24">
        <f>SUMPRODUCT(('Event Master Database'!$L$2:$L$51=$A31)*'Budget Planning'!$J$2:$J$51)</f>
        <v/>
      </c>
      <c r="E31" s="24">
        <f>IF(B31=0,0,D31/B31)</f>
        <v/>
      </c>
      <c r="J31" s="27" t="inlineStr">
        <is>
          <t>AVIAWORLD Travel</t>
        </is>
      </c>
      <c r="K31" s="27" t="inlineStr">
        <is>
          <t>Travel &amp; Air</t>
        </is>
      </c>
      <c r="L31" s="24">
        <f>SUMIF('Supplier Management'!$D$2:$D$149,$J31,'Supplier Management'!$I$2:$I$149)</f>
        <v/>
      </c>
      <c r="M31" s="151">
        <f>IF(SUM('Supplier Management'!$I$2:$I$149)=0,0,L31/SUM('Supplier Management'!$I$2:$I$149))</f>
        <v/>
      </c>
      <c r="N31" s="39" t="inlineStr">
        <is>
          <t>High</t>
        </is>
      </c>
    </row>
    <row r="32" ht="18" customHeight="1">
      <c r="A32" s="42" t="inlineStr">
        <is>
          <t>Planning</t>
        </is>
      </c>
      <c r="B32" s="148">
        <f>COUNTIF('Event Master Database'!$L$2:$L$51,$A32)</f>
        <v/>
      </c>
      <c r="C32" s="34">
        <f>IF(SUM($B$28:$B$34)=0,0,B32/SUM($B$28:$B$34))</f>
        <v/>
      </c>
      <c r="D32" s="19">
        <f>SUMPRODUCT(('Event Master Database'!$L$2:$L$51=$A32)*'Budget Planning'!$J$2:$J$51)</f>
        <v/>
      </c>
      <c r="E32" s="19">
        <f>IF(B32=0,0,D32/B32)</f>
        <v/>
      </c>
      <c r="J32" s="22" t="inlineStr">
        <is>
          <t>Catering Excellence</t>
        </is>
      </c>
      <c r="K32" s="22" t="inlineStr">
        <is>
          <t>F&amp;B / Catering</t>
        </is>
      </c>
      <c r="L32" s="19">
        <f>SUMIF('Supplier Management'!$D$2:$D$149,$J32,'Supplier Management'!$I$2:$I$149)</f>
        <v/>
      </c>
      <c r="M32" s="149">
        <f>IF(SUM('Supplier Management'!$I$2:$I$149)=0,0,L32/SUM('Supplier Management'!$I$2:$I$149))</f>
        <v/>
      </c>
      <c r="N32" s="35" t="inlineStr">
        <is>
          <t>High</t>
        </is>
      </c>
    </row>
    <row r="33" ht="18" customHeight="1">
      <c r="A33" s="43" t="inlineStr">
        <is>
          <t>Closed</t>
        </is>
      </c>
      <c r="B33" s="150">
        <f>COUNTIF('Event Master Database'!$L$2:$L$51,$A33)</f>
        <v/>
      </c>
      <c r="C33" s="38">
        <f>IF(SUM($B$28:$B$34)=0,0,B33/SUM($B$28:$B$34))</f>
        <v/>
      </c>
      <c r="D33" s="24">
        <f>SUMPRODUCT(('Event Master Database'!$L$2:$L$51=$A33)*'Budget Planning'!$J$2:$J$51)</f>
        <v/>
      </c>
      <c r="E33" s="24">
        <f>IF(B33=0,0,D33/B33)</f>
        <v/>
      </c>
      <c r="J33" s="27" t="inlineStr">
        <is>
          <t>PharmaLogix</t>
        </is>
      </c>
      <c r="K33" s="27" t="inlineStr">
        <is>
          <t>Logistics &amp; Transport</t>
        </is>
      </c>
      <c r="L33" s="24">
        <f>SUMIF('Supplier Management'!$D$2:$D$149,$J33,'Supplier Management'!$I$2:$I$149)</f>
        <v/>
      </c>
      <c r="M33" s="151">
        <f>IF(SUM('Supplier Management'!$I$2:$I$149)=0,0,L33/SUM('Supplier Management'!$I$2:$I$149))</f>
        <v/>
      </c>
      <c r="N33" s="30" t="inlineStr">
        <is>
          <t>Medium</t>
        </is>
      </c>
    </row>
    <row r="34" ht="18" customHeight="1">
      <c r="A34" s="44" t="inlineStr">
        <is>
          <t>On Hold</t>
        </is>
      </c>
      <c r="B34" s="148">
        <f>COUNTIF('Event Master Database'!$L$2:$L$51,$A34)</f>
        <v/>
      </c>
      <c r="C34" s="34">
        <f>IF(SUM($B$28:$B$34)=0,0,B34/SUM($B$28:$B$34))</f>
        <v/>
      </c>
      <c r="D34" s="19">
        <f>SUMPRODUCT(('Event Master Database'!$L$2:$L$51=$A34)*'Budget Planning'!$J$2:$J$51)</f>
        <v/>
      </c>
      <c r="E34" s="19">
        <f>IF(B34=0,0,D34/B34)</f>
        <v/>
      </c>
      <c r="J34" s="22" t="inlineStr">
        <is>
          <t>HealthMarketing Group</t>
        </is>
      </c>
      <c r="K34" s="22" t="inlineStr">
        <is>
          <t>Marketing Agency</t>
        </is>
      </c>
      <c r="L34" s="19">
        <f>SUMIF('Supplier Management'!$D$2:$D$149,$J34,'Supplier Management'!$I$2:$I$149)</f>
        <v/>
      </c>
      <c r="M34" s="149">
        <f>IF(SUM('Supplier Management'!$I$2:$I$149)=0,0,L34/SUM('Supplier Management'!$I$2:$I$149))</f>
        <v/>
      </c>
      <c r="N34" s="35" t="inlineStr">
        <is>
          <t>High</t>
        </is>
      </c>
    </row>
    <row r="35" ht="18" customHeight="1">
      <c r="J35" s="27" t="inlineStr">
        <is>
          <t>Venue Masters EMEA</t>
        </is>
      </c>
      <c r="K35" s="27" t="inlineStr">
        <is>
          <t>Venue Sourcing</t>
        </is>
      </c>
      <c r="L35" s="24">
        <f>SUMIF('Supplier Management'!$D$2:$D$149,$J35,'Supplier Management'!$I$2:$I$149)</f>
        <v/>
      </c>
      <c r="M35" s="151">
        <f>IF(SUM('Supplier Management'!$I$2:$I$149)=0,0,L35/SUM('Supplier Management'!$I$2:$I$149))</f>
        <v/>
      </c>
      <c r="N35" s="39" t="inlineStr">
        <is>
          <t>High</t>
        </is>
      </c>
    </row>
  </sheetData>
  <mergeCells count="43">
    <mergeCell ref="O7:P7"/>
    <mergeCell ref="Q7:R7"/>
    <mergeCell ref="C6:D6"/>
    <mergeCell ref="I6:J6"/>
    <mergeCell ref="C5:D5"/>
    <mergeCell ref="O6:P6"/>
    <mergeCell ref="E5:F5"/>
    <mergeCell ref="K5:L5"/>
    <mergeCell ref="M5:N5"/>
    <mergeCell ref="J10:Q10"/>
    <mergeCell ref="G8:H8"/>
    <mergeCell ref="A1:Q1"/>
    <mergeCell ref="A6:B6"/>
    <mergeCell ref="E8:F8"/>
    <mergeCell ref="Q8:R8"/>
    <mergeCell ref="A7:B7"/>
    <mergeCell ref="G7:H7"/>
    <mergeCell ref="O5:P5"/>
    <mergeCell ref="I7:J7"/>
    <mergeCell ref="Q5:R5"/>
    <mergeCell ref="G6:H6"/>
    <mergeCell ref="M7:N7"/>
    <mergeCell ref="A26:H26"/>
    <mergeCell ref="E6:F6"/>
    <mergeCell ref="J26:Q26"/>
    <mergeCell ref="M6:N6"/>
    <mergeCell ref="K8:L8"/>
    <mergeCell ref="Q6:R6"/>
    <mergeCell ref="A5:B5"/>
    <mergeCell ref="G5:H5"/>
    <mergeCell ref="A2:Q2"/>
    <mergeCell ref="I5:J5"/>
    <mergeCell ref="I8:J8"/>
    <mergeCell ref="A8:B8"/>
    <mergeCell ref="M8:N8"/>
    <mergeCell ref="C8:D8"/>
    <mergeCell ref="O8:P8"/>
    <mergeCell ref="K7:L7"/>
    <mergeCell ref="C7:D7"/>
    <mergeCell ref="E7:F7"/>
    <mergeCell ref="A4:Q4"/>
    <mergeCell ref="A10:H10"/>
    <mergeCell ref="K6:L6"/>
  </mergeCells>
  <printOptions gridLines="0"/>
  <pageMargins left="0.4" right="0.4" top="0.6" bottom="0.6" header="0.3" footer="0.3"/>
  <pageSetup orientation="landscape" fitToHeight="0" fitToWidth="1"/>
  <headerFooter>
    <oddHeader/>
    <oddFooter>&amp;LConfidential – Internal Use Only&amp;C&amp;A&amp;RPage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R51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18" customWidth="1" min="4" max="4"/>
    <col width="22" customWidth="1" min="5" max="5"/>
    <col width="22" customWidth="1" min="6" max="6"/>
    <col width="13" customWidth="1" min="7" max="7"/>
    <col width="13" customWidth="1" min="8" max="8"/>
    <col width="14" customWidth="1" min="9" max="9"/>
    <col width="16" customWidth="1" min="10" max="10"/>
    <col width="16" customWidth="1" min="11" max="11"/>
    <col width="14" customWidth="1" min="12" max="12"/>
    <col width="20" customWidth="1" min="13" max="13"/>
    <col width="14" customWidth="1" min="14" max="14"/>
    <col width="12" customWidth="1" min="15" max="15"/>
    <col width="14" customWidth="1" min="16" max="16"/>
    <col width="14" customWidth="1" min="17" max="17"/>
    <col width="30" customWidth="1" min="18" max="18"/>
  </cols>
  <sheetData>
    <row r="1" ht="30" customHeight="1">
      <c r="A1" s="17" t="inlineStr">
        <is>
          <t>Event ID</t>
        </is>
      </c>
      <c r="B1" s="17" t="inlineStr">
        <is>
          <t>Event Name</t>
        </is>
      </c>
      <c r="C1" s="17" t="inlineStr">
        <is>
          <t>Therapeutic Area</t>
        </is>
      </c>
      <c r="D1" s="17" t="inlineStr">
        <is>
          <t>Product</t>
        </is>
      </c>
      <c r="E1" s="17" t="inlineStr">
        <is>
          <t>Business Unit</t>
        </is>
      </c>
      <c r="F1" s="17" t="inlineStr">
        <is>
          <t>Event Type</t>
        </is>
      </c>
      <c r="G1" s="17" t="inlineStr">
        <is>
          <t>Start Date</t>
        </is>
      </c>
      <c r="H1" s="17" t="inlineStr">
        <is>
          <t>End Date</t>
        </is>
      </c>
      <c r="I1" s="17" t="inlineStr">
        <is>
          <t>Duration (Days)</t>
        </is>
      </c>
      <c r="J1" s="17" t="inlineStr">
        <is>
          <t>City</t>
        </is>
      </c>
      <c r="K1" s="17" t="inlineStr">
        <is>
          <t>Country</t>
        </is>
      </c>
      <c r="L1" s="17" t="inlineStr">
        <is>
          <t>Status</t>
        </is>
      </c>
      <c r="M1" s="17" t="inlineStr">
        <is>
          <t>Responsible Owner</t>
        </is>
      </c>
      <c r="N1" s="17" t="inlineStr">
        <is>
          <t>Cost Center</t>
        </is>
      </c>
      <c r="O1" s="17" t="inlineStr">
        <is>
          <t>GL Account</t>
        </is>
      </c>
      <c r="P1" s="17" t="inlineStr">
        <is>
          <t>Created Date</t>
        </is>
      </c>
      <c r="Q1" s="17" t="inlineStr">
        <is>
          <t>Last Modified</t>
        </is>
      </c>
      <c r="R1" s="17" t="inlineStr">
        <is>
          <t>Notes</t>
        </is>
      </c>
    </row>
    <row r="2" ht="18" customHeight="1">
      <c r="A2" s="45" t="inlineStr">
        <is>
          <t>EVT-2025-001</t>
        </is>
      </c>
      <c r="B2" s="46" t="inlineStr">
        <is>
          <t>Cordavex Internal Meeting Vienna Apr 2025</t>
        </is>
      </c>
      <c r="C2" s="47" t="inlineStr">
        <is>
          <t>Cardiology</t>
        </is>
      </c>
      <c r="D2" s="47" t="inlineStr">
        <is>
          <t>Cordavex</t>
        </is>
      </c>
      <c r="E2" s="47" t="inlineStr">
        <is>
          <t>BU Cardiovascular</t>
        </is>
      </c>
      <c r="F2" s="47" t="inlineStr">
        <is>
          <t>Internal Meeting</t>
        </is>
      </c>
      <c r="G2" s="152" t="n">
        <v>45772</v>
      </c>
      <c r="H2" s="152" t="n">
        <v>45773</v>
      </c>
      <c r="I2" s="49" t="n">
        <v>2</v>
      </c>
      <c r="J2" s="47" t="inlineStr">
        <is>
          <t>Vienna</t>
        </is>
      </c>
      <c r="K2" s="47" t="inlineStr">
        <is>
          <t>Austria</t>
        </is>
      </c>
      <c r="L2" s="50" t="inlineStr">
        <is>
          <t>Completed</t>
        </is>
      </c>
      <c r="M2" s="46" t="inlineStr">
        <is>
          <t>Maria Kowalski</t>
        </is>
      </c>
      <c r="N2" s="47" t="inlineStr">
        <is>
          <t>CC-1500</t>
        </is>
      </c>
      <c r="O2" s="47" t="inlineStr">
        <is>
          <t>GL-6311</t>
        </is>
      </c>
      <c r="P2" s="152" t="n">
        <v>45665</v>
      </c>
      <c r="Q2" s="152" t="n">
        <v>45685</v>
      </c>
      <c r="R2" s="46" t="inlineStr"/>
    </row>
    <row r="3" ht="18" customHeight="1">
      <c r="A3" s="45" t="inlineStr">
        <is>
          <t>EVT-2025-002</t>
        </is>
      </c>
      <c r="B3" s="51" t="inlineStr">
        <is>
          <t>Eplitazan Investigator Meeting Barcelona Jan 2025</t>
        </is>
      </c>
      <c r="C3" s="52" t="inlineStr">
        <is>
          <t>Cardiology</t>
        </is>
      </c>
      <c r="D3" s="52" t="inlineStr">
        <is>
          <t>Eplitazan</t>
        </is>
      </c>
      <c r="E3" s="52" t="inlineStr">
        <is>
          <t>BU Cardiovascular</t>
        </is>
      </c>
      <c r="F3" s="52" t="inlineStr">
        <is>
          <t>Investigator Meeting</t>
        </is>
      </c>
      <c r="G3" s="153" t="n">
        <v>45673</v>
      </c>
      <c r="H3" s="153" t="n">
        <v>45674</v>
      </c>
      <c r="I3" s="54" t="n">
        <v>2</v>
      </c>
      <c r="J3" s="52" t="inlineStr">
        <is>
          <t>Barcelona</t>
        </is>
      </c>
      <c r="K3" s="52" t="inlineStr">
        <is>
          <t>Spain</t>
        </is>
      </c>
      <c r="L3" s="55" t="inlineStr">
        <is>
          <t>Confirmed</t>
        </is>
      </c>
      <c r="M3" s="51" t="inlineStr">
        <is>
          <t>Lena Schneider</t>
        </is>
      </c>
      <c r="N3" s="52" t="inlineStr">
        <is>
          <t>CC-8308</t>
        </is>
      </c>
      <c r="O3" s="52" t="inlineStr">
        <is>
          <t>GL-6311</t>
        </is>
      </c>
      <c r="P3" s="153" t="n">
        <v>45502</v>
      </c>
      <c r="Q3" s="153" t="n">
        <v>45522</v>
      </c>
      <c r="R3" s="51" t="inlineStr"/>
    </row>
    <row r="4" ht="18" customHeight="1">
      <c r="A4" s="45" t="inlineStr">
        <is>
          <t>EVT-2025-003</t>
        </is>
      </c>
      <c r="B4" s="46" t="inlineStr">
        <is>
          <t>Influximab Webinar Athens Apr 2025</t>
        </is>
      </c>
      <c r="C4" s="47" t="inlineStr">
        <is>
          <t>Immunology</t>
        </is>
      </c>
      <c r="D4" s="47" t="inlineStr">
        <is>
          <t>Influximab</t>
        </is>
      </c>
      <c r="E4" s="47" t="inlineStr">
        <is>
          <t>BU Immunology</t>
        </is>
      </c>
      <c r="F4" s="47" t="inlineStr">
        <is>
          <t>Webinar</t>
        </is>
      </c>
      <c r="G4" s="152" t="n">
        <v>45770</v>
      </c>
      <c r="H4" s="152" t="n">
        <v>45772</v>
      </c>
      <c r="I4" s="49" t="n">
        <v>3</v>
      </c>
      <c r="J4" s="47" t="inlineStr">
        <is>
          <t>Athens</t>
        </is>
      </c>
      <c r="K4" s="47" t="inlineStr">
        <is>
          <t>Greece</t>
        </is>
      </c>
      <c r="L4" s="50" t="inlineStr">
        <is>
          <t>Completed</t>
        </is>
      </c>
      <c r="M4" s="46" t="inlineStr">
        <is>
          <t>Ana García</t>
        </is>
      </c>
      <c r="N4" s="47" t="inlineStr">
        <is>
          <t>CC-6730</t>
        </is>
      </c>
      <c r="O4" s="47" t="inlineStr">
        <is>
          <t>GL-6312</t>
        </is>
      </c>
      <c r="P4" s="152" t="n">
        <v>45690</v>
      </c>
      <c r="Q4" s="152" t="n">
        <v>45703</v>
      </c>
      <c r="R4" s="46" t="inlineStr"/>
    </row>
    <row r="5" ht="18" customHeight="1">
      <c r="A5" s="45" t="inlineStr">
        <is>
          <t>EVT-2025-004</t>
        </is>
      </c>
      <c r="B5" s="51" t="inlineStr">
        <is>
          <t>Cognivex Investigator Meeting Stockholm May 2025</t>
        </is>
      </c>
      <c r="C5" s="52" t="inlineStr">
        <is>
          <t>Neurology</t>
        </is>
      </c>
      <c r="D5" s="52" t="inlineStr">
        <is>
          <t>Cognivex</t>
        </is>
      </c>
      <c r="E5" s="52" t="inlineStr">
        <is>
          <t>BU Neuroscience</t>
        </is>
      </c>
      <c r="F5" s="52" t="inlineStr">
        <is>
          <t>Investigator Meeting</t>
        </is>
      </c>
      <c r="G5" s="153" t="n">
        <v>45800</v>
      </c>
      <c r="H5" s="153" t="n">
        <v>45802</v>
      </c>
      <c r="I5" s="54" t="n">
        <v>3</v>
      </c>
      <c r="J5" s="52" t="inlineStr">
        <is>
          <t>Stockholm</t>
        </is>
      </c>
      <c r="K5" s="52" t="inlineStr">
        <is>
          <t>Sweden</t>
        </is>
      </c>
      <c r="L5" s="55" t="inlineStr">
        <is>
          <t>Confirmed</t>
        </is>
      </c>
      <c r="M5" s="51" t="inlineStr">
        <is>
          <t>Lucas Dupont</t>
        </is>
      </c>
      <c r="N5" s="52" t="inlineStr">
        <is>
          <t>CC-2480</t>
        </is>
      </c>
      <c r="O5" s="52" t="inlineStr">
        <is>
          <t>GL-6312</t>
        </is>
      </c>
      <c r="P5" s="153" t="n">
        <v>45737</v>
      </c>
      <c r="Q5" s="153" t="n">
        <v>45754</v>
      </c>
      <c r="R5" s="51" t="inlineStr"/>
    </row>
    <row r="6" ht="18" customHeight="1">
      <c r="A6" s="45" t="inlineStr">
        <is>
          <t>EVT-2025-005</t>
        </is>
      </c>
      <c r="B6" s="46" t="inlineStr">
        <is>
          <t>Hemaflex Launch Event Brussels Nov 2025</t>
        </is>
      </c>
      <c r="C6" s="47" t="inlineStr">
        <is>
          <t>Hematology</t>
        </is>
      </c>
      <c r="D6" s="47" t="inlineStr">
        <is>
          <t>Hemaflex</t>
        </is>
      </c>
      <c r="E6" s="47" t="inlineStr">
        <is>
          <t>BU Oncology</t>
        </is>
      </c>
      <c r="F6" s="47" t="inlineStr">
        <is>
          <t>Launch Event</t>
        </is>
      </c>
      <c r="G6" s="152" t="n">
        <v>45967</v>
      </c>
      <c r="H6" s="152" t="n">
        <v>45969</v>
      </c>
      <c r="I6" s="49" t="n">
        <v>3</v>
      </c>
      <c r="J6" s="47" t="inlineStr">
        <is>
          <t>Brussels</t>
        </is>
      </c>
      <c r="K6" s="47" t="inlineStr">
        <is>
          <t>Belgium</t>
        </is>
      </c>
      <c r="L6" s="56" t="inlineStr">
        <is>
          <t>Cancelled</t>
        </is>
      </c>
      <c r="M6" s="46" t="inlineStr">
        <is>
          <t>Thomas Dubois</t>
        </is>
      </c>
      <c r="N6" s="47" t="inlineStr">
        <is>
          <t>CC-1813</t>
        </is>
      </c>
      <c r="O6" s="47" t="inlineStr">
        <is>
          <t>GL-6311</t>
        </is>
      </c>
      <c r="P6" s="152" t="n">
        <v>45798</v>
      </c>
      <c r="Q6" s="152" t="n">
        <v>45821</v>
      </c>
      <c r="R6" s="46" t="inlineStr"/>
    </row>
    <row r="7" ht="18" customHeight="1">
      <c r="A7" s="45" t="inlineStr">
        <is>
          <t>EVT-2025-006</t>
        </is>
      </c>
      <c r="B7" s="51" t="inlineStr">
        <is>
          <t>Miotrex Advisory Board Istanbul May 2025</t>
        </is>
      </c>
      <c r="C7" s="52" t="inlineStr">
        <is>
          <t>Cardiology</t>
        </is>
      </c>
      <c r="D7" s="52" t="inlineStr">
        <is>
          <t>Miotrex</t>
        </is>
      </c>
      <c r="E7" s="52" t="inlineStr">
        <is>
          <t>BU Cardiovascular</t>
        </is>
      </c>
      <c r="F7" s="52" t="inlineStr">
        <is>
          <t>Advisory Board</t>
        </is>
      </c>
      <c r="G7" s="153" t="n">
        <v>45808</v>
      </c>
      <c r="H7" s="153" t="n">
        <v>45810</v>
      </c>
      <c r="I7" s="54" t="n">
        <v>3</v>
      </c>
      <c r="J7" s="52" t="inlineStr">
        <is>
          <t>Istanbul</t>
        </is>
      </c>
      <c r="K7" s="52" t="inlineStr">
        <is>
          <t>Turkey</t>
        </is>
      </c>
      <c r="L7" s="50" t="inlineStr">
        <is>
          <t>Completed</t>
        </is>
      </c>
      <c r="M7" s="51" t="inlineStr">
        <is>
          <t>Thomas Dubois</t>
        </is>
      </c>
      <c r="N7" s="52" t="inlineStr">
        <is>
          <t>CC-4511</t>
        </is>
      </c>
      <c r="O7" s="52" t="inlineStr">
        <is>
          <t>GL-6311</t>
        </is>
      </c>
      <c r="P7" s="153" t="n">
        <v>45666</v>
      </c>
      <c r="Q7" s="153" t="n">
        <v>45678</v>
      </c>
      <c r="R7" s="51" t="inlineStr"/>
    </row>
    <row r="8" ht="18" customHeight="1">
      <c r="A8" s="45" t="inlineStr">
        <is>
          <t>EVT-2025-007</t>
        </is>
      </c>
      <c r="B8" s="46" t="inlineStr">
        <is>
          <t>Bioflair Advisory Board Vienna Feb 2025</t>
        </is>
      </c>
      <c r="C8" s="47" t="inlineStr">
        <is>
          <t>Immunology</t>
        </is>
      </c>
      <c r="D8" s="47" t="inlineStr">
        <is>
          <t>Bioflair</t>
        </is>
      </c>
      <c r="E8" s="47" t="inlineStr">
        <is>
          <t>BU Immunology</t>
        </is>
      </c>
      <c r="F8" s="47" t="inlineStr">
        <is>
          <t>Advisory Board</t>
        </is>
      </c>
      <c r="G8" s="152" t="n">
        <v>45709</v>
      </c>
      <c r="H8" s="152" t="n">
        <v>45711</v>
      </c>
      <c r="I8" s="49" t="n">
        <v>3</v>
      </c>
      <c r="J8" s="47" t="inlineStr">
        <is>
          <t>Vienna</t>
        </is>
      </c>
      <c r="K8" s="47" t="inlineStr">
        <is>
          <t>Austria</t>
        </is>
      </c>
      <c r="L8" s="57" t="inlineStr">
        <is>
          <t>In Progress</t>
        </is>
      </c>
      <c r="M8" s="46" t="inlineStr">
        <is>
          <t>Maria Kowalski</t>
        </is>
      </c>
      <c r="N8" s="47" t="inlineStr">
        <is>
          <t>CC-4387</t>
        </is>
      </c>
      <c r="O8" s="47" t="inlineStr">
        <is>
          <t>GL-6312</t>
        </is>
      </c>
      <c r="P8" s="152" t="n">
        <v>45566</v>
      </c>
      <c r="Q8" s="152" t="n">
        <v>45584</v>
      </c>
      <c r="R8" s="46" t="inlineStr"/>
    </row>
    <row r="9" ht="18" customHeight="1">
      <c r="A9" s="45" t="inlineStr">
        <is>
          <t>EVT-2025-008</t>
        </is>
      </c>
      <c r="B9" s="51" t="inlineStr">
        <is>
          <t>Axotrin Launch Event Amsterdam Dec 2025</t>
        </is>
      </c>
      <c r="C9" s="52" t="inlineStr">
        <is>
          <t>Neurology</t>
        </is>
      </c>
      <c r="D9" s="52" t="inlineStr">
        <is>
          <t>Axotrin</t>
        </is>
      </c>
      <c r="E9" s="52" t="inlineStr">
        <is>
          <t>BU Neuroscience</t>
        </is>
      </c>
      <c r="F9" s="52" t="inlineStr">
        <is>
          <t>Launch Event</t>
        </is>
      </c>
      <c r="G9" s="153" t="n">
        <v>46001</v>
      </c>
      <c r="H9" s="153" t="n">
        <v>46003</v>
      </c>
      <c r="I9" s="54" t="n">
        <v>3</v>
      </c>
      <c r="J9" s="52" t="inlineStr">
        <is>
          <t>Amsterdam</t>
        </is>
      </c>
      <c r="K9" s="52" t="inlineStr">
        <is>
          <t>Netherlands</t>
        </is>
      </c>
      <c r="L9" s="50" t="inlineStr">
        <is>
          <t>Completed</t>
        </is>
      </c>
      <c r="M9" s="51" t="inlineStr">
        <is>
          <t>Maria Kowalski</t>
        </is>
      </c>
      <c r="N9" s="52" t="inlineStr">
        <is>
          <t>CC-9409</t>
        </is>
      </c>
      <c r="O9" s="52" t="inlineStr">
        <is>
          <t>GL-6310</t>
        </is>
      </c>
      <c r="P9" s="153" t="n">
        <v>45831</v>
      </c>
      <c r="Q9" s="153" t="n">
        <v>45860</v>
      </c>
      <c r="R9" s="51" t="inlineStr"/>
    </row>
    <row r="10" ht="18" customHeight="1">
      <c r="A10" s="45" t="inlineStr">
        <is>
          <t>EVT-2025-009</t>
        </is>
      </c>
      <c r="B10" s="46" t="inlineStr">
        <is>
          <t>Cognivex KOL Meeting Milan Aug 2025</t>
        </is>
      </c>
      <c r="C10" s="47" t="inlineStr">
        <is>
          <t>Neurology</t>
        </is>
      </c>
      <c r="D10" s="47" t="inlineStr">
        <is>
          <t>Cognivex</t>
        </is>
      </c>
      <c r="E10" s="47" t="inlineStr">
        <is>
          <t>BU Neuroscience</t>
        </is>
      </c>
      <c r="F10" s="47" t="inlineStr">
        <is>
          <t>KOL Meeting</t>
        </is>
      </c>
      <c r="G10" s="152" t="n">
        <v>45894</v>
      </c>
      <c r="H10" s="152" t="n">
        <v>45896</v>
      </c>
      <c r="I10" s="49" t="n">
        <v>3</v>
      </c>
      <c r="J10" s="47" t="inlineStr">
        <is>
          <t>Milan</t>
        </is>
      </c>
      <c r="K10" s="47" t="inlineStr">
        <is>
          <t>Italy</t>
        </is>
      </c>
      <c r="L10" s="55" t="inlineStr">
        <is>
          <t>Confirmed</t>
        </is>
      </c>
      <c r="M10" s="46" t="inlineStr">
        <is>
          <t>Maria Kowalski</t>
        </is>
      </c>
      <c r="N10" s="47" t="inlineStr">
        <is>
          <t>CC-1145</t>
        </is>
      </c>
      <c r="O10" s="47" t="inlineStr">
        <is>
          <t>GL-6315</t>
        </is>
      </c>
      <c r="P10" s="152" t="n">
        <v>45718</v>
      </c>
      <c r="Q10" s="152" t="n">
        <v>45727</v>
      </c>
      <c r="R10" s="46" t="inlineStr"/>
    </row>
    <row r="11" ht="18" customHeight="1">
      <c r="A11" s="45" t="inlineStr">
        <is>
          <t>EVT-2025-010</t>
        </is>
      </c>
      <c r="B11" s="51" t="inlineStr">
        <is>
          <t>Influximab Launch Event Barcelona Apr 2025</t>
        </is>
      </c>
      <c r="C11" s="52" t="inlineStr">
        <is>
          <t>Immunology</t>
        </is>
      </c>
      <c r="D11" s="52" t="inlineStr">
        <is>
          <t>Influximab</t>
        </is>
      </c>
      <c r="E11" s="52" t="inlineStr">
        <is>
          <t>BU Immunology</t>
        </is>
      </c>
      <c r="F11" s="52" t="inlineStr">
        <is>
          <t>Launch Event</t>
        </is>
      </c>
      <c r="G11" s="153" t="n">
        <v>45775</v>
      </c>
      <c r="H11" s="153" t="n">
        <v>45776</v>
      </c>
      <c r="I11" s="54" t="n">
        <v>2</v>
      </c>
      <c r="J11" s="52" t="inlineStr">
        <is>
          <t>Barcelona</t>
        </is>
      </c>
      <c r="K11" s="52" t="inlineStr">
        <is>
          <t>Spain</t>
        </is>
      </c>
      <c r="L11" s="56" t="inlineStr">
        <is>
          <t>Cancelled</t>
        </is>
      </c>
      <c r="M11" s="51" t="inlineStr">
        <is>
          <t>Emma Johansson</t>
        </is>
      </c>
      <c r="N11" s="52" t="inlineStr">
        <is>
          <t>CC-3837</t>
        </is>
      </c>
      <c r="O11" s="52" t="inlineStr">
        <is>
          <t>GL-6320</t>
        </is>
      </c>
      <c r="P11" s="153" t="n">
        <v>45613</v>
      </c>
      <c r="Q11" s="153" t="n">
        <v>45618</v>
      </c>
      <c r="R11" s="51" t="inlineStr"/>
    </row>
    <row r="12" ht="18" customHeight="1">
      <c r="A12" s="45" t="inlineStr">
        <is>
          <t>EVT-2025-011</t>
        </is>
      </c>
      <c r="B12" s="46" t="inlineStr">
        <is>
          <t>Influximab Launch Event Amsterdam Dec 2025</t>
        </is>
      </c>
      <c r="C12" s="47" t="inlineStr">
        <is>
          <t>Immunology</t>
        </is>
      </c>
      <c r="D12" s="47" t="inlineStr">
        <is>
          <t>Influximab</t>
        </is>
      </c>
      <c r="E12" s="47" t="inlineStr">
        <is>
          <t>BU Immunology</t>
        </is>
      </c>
      <c r="F12" s="47" t="inlineStr">
        <is>
          <t>Launch Event</t>
        </is>
      </c>
      <c r="G12" s="152" t="n">
        <v>45993</v>
      </c>
      <c r="H12" s="152" t="n">
        <v>45995</v>
      </c>
      <c r="I12" s="49" t="n">
        <v>3</v>
      </c>
      <c r="J12" s="47" t="inlineStr">
        <is>
          <t>Amsterdam</t>
        </is>
      </c>
      <c r="K12" s="47" t="inlineStr">
        <is>
          <t>Netherlands</t>
        </is>
      </c>
      <c r="L12" s="50" t="inlineStr">
        <is>
          <t>Completed</t>
        </is>
      </c>
      <c r="M12" s="46" t="inlineStr">
        <is>
          <t>Maria Kowalski</t>
        </is>
      </c>
      <c r="N12" s="47" t="inlineStr">
        <is>
          <t>CC-4666</t>
        </is>
      </c>
      <c r="O12" s="47" t="inlineStr">
        <is>
          <t>GL-6312</t>
        </is>
      </c>
      <c r="P12" s="152" t="n">
        <v>45856</v>
      </c>
      <c r="Q12" s="152" t="n">
        <v>45886</v>
      </c>
      <c r="R12" s="46" t="inlineStr"/>
    </row>
    <row r="13" ht="18" customHeight="1">
      <c r="A13" s="45" t="inlineStr">
        <is>
          <t>EVT-2025-012</t>
        </is>
      </c>
      <c r="B13" s="51" t="inlineStr">
        <is>
          <t>Rarzolene KOL Meeting Istanbul Oct 2025</t>
        </is>
      </c>
      <c r="C13" s="52" t="inlineStr">
        <is>
          <t>Rare Diseases</t>
        </is>
      </c>
      <c r="D13" s="52" t="inlineStr">
        <is>
          <t>Rarzolene</t>
        </is>
      </c>
      <c r="E13" s="52" t="inlineStr">
        <is>
          <t>BU Rare Diseases</t>
        </is>
      </c>
      <c r="F13" s="52" t="inlineStr">
        <is>
          <t>KOL Meeting</t>
        </is>
      </c>
      <c r="G13" s="153" t="n">
        <v>45933</v>
      </c>
      <c r="H13" s="153" t="n">
        <v>45935</v>
      </c>
      <c r="I13" s="54" t="n">
        <v>3</v>
      </c>
      <c r="J13" s="52" t="inlineStr">
        <is>
          <t>Istanbul</t>
        </is>
      </c>
      <c r="K13" s="52" t="inlineStr">
        <is>
          <t>Turkey</t>
        </is>
      </c>
      <c r="L13" s="50" t="inlineStr">
        <is>
          <t>Completed</t>
        </is>
      </c>
      <c r="M13" s="51" t="inlineStr">
        <is>
          <t>Emma Johansson</t>
        </is>
      </c>
      <c r="N13" s="52" t="inlineStr">
        <is>
          <t>CC-6004</t>
        </is>
      </c>
      <c r="O13" s="52" t="inlineStr">
        <is>
          <t>GL-6312</t>
        </is>
      </c>
      <c r="P13" s="153" t="n">
        <v>45819</v>
      </c>
      <c r="Q13" s="153" t="n">
        <v>45836</v>
      </c>
      <c r="R13" s="51" t="inlineStr"/>
    </row>
    <row r="14" ht="18" customHeight="1">
      <c r="A14" s="45" t="inlineStr">
        <is>
          <t>EVT-2025-013</t>
        </is>
      </c>
      <c r="B14" s="46" t="inlineStr">
        <is>
          <t>Thrombovex KOL Meeting Berlin Sep 2025</t>
        </is>
      </c>
      <c r="C14" s="47" t="inlineStr">
        <is>
          <t>Hematology</t>
        </is>
      </c>
      <c r="D14" s="47" t="inlineStr">
        <is>
          <t>Thrombovex</t>
        </is>
      </c>
      <c r="E14" s="47" t="inlineStr">
        <is>
          <t>BU Oncology</t>
        </is>
      </c>
      <c r="F14" s="47" t="inlineStr">
        <is>
          <t>KOL Meeting</t>
        </is>
      </c>
      <c r="G14" s="152" t="n">
        <v>45918</v>
      </c>
      <c r="H14" s="152" t="n">
        <v>45920</v>
      </c>
      <c r="I14" s="49" t="n">
        <v>3</v>
      </c>
      <c r="J14" s="47" t="inlineStr">
        <is>
          <t>Berlin</t>
        </is>
      </c>
      <c r="K14" s="47" t="inlineStr">
        <is>
          <t>Germany</t>
        </is>
      </c>
      <c r="L14" s="58" t="inlineStr">
        <is>
          <t>Planning</t>
        </is>
      </c>
      <c r="M14" s="46" t="inlineStr">
        <is>
          <t>Ana García</t>
        </is>
      </c>
      <c r="N14" s="47" t="inlineStr">
        <is>
          <t>CC-6713</t>
        </is>
      </c>
      <c r="O14" s="47" t="inlineStr">
        <is>
          <t>GL-6315</t>
        </is>
      </c>
      <c r="P14" s="152" t="n">
        <v>45826</v>
      </c>
      <c r="Q14" s="152" t="n">
        <v>45837</v>
      </c>
      <c r="R14" s="46" t="inlineStr"/>
    </row>
    <row r="15" ht="18" customHeight="1">
      <c r="A15" s="45" t="inlineStr">
        <is>
          <t>EVT-2025-014</t>
        </is>
      </c>
      <c r="B15" s="51" t="inlineStr">
        <is>
          <t>Cognivex Speaker Program Athens Nov 2025</t>
        </is>
      </c>
      <c r="C15" s="52" t="inlineStr">
        <is>
          <t>Neurology</t>
        </is>
      </c>
      <c r="D15" s="52" t="inlineStr">
        <is>
          <t>Cognivex</t>
        </is>
      </c>
      <c r="E15" s="52" t="inlineStr">
        <is>
          <t>BU Neuroscience</t>
        </is>
      </c>
      <c r="F15" s="52" t="inlineStr">
        <is>
          <t>Speaker Program</t>
        </is>
      </c>
      <c r="G15" s="153" t="n">
        <v>45963</v>
      </c>
      <c r="H15" s="153" t="n">
        <v>45964</v>
      </c>
      <c r="I15" s="54" t="n">
        <v>2</v>
      </c>
      <c r="J15" s="52" t="inlineStr">
        <is>
          <t>Athens</t>
        </is>
      </c>
      <c r="K15" s="52" t="inlineStr">
        <is>
          <t>Greece</t>
        </is>
      </c>
      <c r="L15" s="50" t="inlineStr">
        <is>
          <t>Completed</t>
        </is>
      </c>
      <c r="M15" s="51" t="inlineStr">
        <is>
          <t>David O'Brien</t>
        </is>
      </c>
      <c r="N15" s="52" t="inlineStr">
        <is>
          <t>CC-8646</t>
        </is>
      </c>
      <c r="O15" s="52" t="inlineStr">
        <is>
          <t>GL-6312</t>
        </is>
      </c>
      <c r="P15" s="153" t="n">
        <v>45817</v>
      </c>
      <c r="Q15" s="153" t="n">
        <v>45838</v>
      </c>
      <c r="R15" s="51" t="inlineStr"/>
    </row>
    <row r="16" ht="18" customHeight="1">
      <c r="A16" s="45" t="inlineStr">
        <is>
          <t>EVT-2025-015</t>
        </is>
      </c>
      <c r="B16" s="46" t="inlineStr">
        <is>
          <t>Orphavex Congress Paris Dec 2025</t>
        </is>
      </c>
      <c r="C16" s="47" t="inlineStr">
        <is>
          <t>Rare Diseases</t>
        </is>
      </c>
      <c r="D16" s="47" t="inlineStr">
        <is>
          <t>Orphavex</t>
        </is>
      </c>
      <c r="E16" s="47" t="inlineStr">
        <is>
          <t>BU Rare Diseases</t>
        </is>
      </c>
      <c r="F16" s="47" t="inlineStr">
        <is>
          <t>Congress</t>
        </is>
      </c>
      <c r="G16" s="152" t="n">
        <v>46007</v>
      </c>
      <c r="H16" s="152" t="n">
        <v>46012</v>
      </c>
      <c r="I16" s="49" t="n">
        <v>6</v>
      </c>
      <c r="J16" s="47" t="inlineStr">
        <is>
          <t>Paris</t>
        </is>
      </c>
      <c r="K16" s="47" t="inlineStr">
        <is>
          <t>France</t>
        </is>
      </c>
      <c r="L16" s="50" t="inlineStr">
        <is>
          <t>Completed</t>
        </is>
      </c>
      <c r="M16" s="46" t="inlineStr">
        <is>
          <t>Maria Kowalski</t>
        </is>
      </c>
      <c r="N16" s="47" t="inlineStr">
        <is>
          <t>CC-7506</t>
        </is>
      </c>
      <c r="O16" s="47" t="inlineStr">
        <is>
          <t>GL-6320</t>
        </is>
      </c>
      <c r="P16" s="152" t="n">
        <v>45934</v>
      </c>
      <c r="Q16" s="152" t="n">
        <v>45939</v>
      </c>
      <c r="R16" s="46" t="inlineStr"/>
    </row>
    <row r="17" ht="18" customHeight="1">
      <c r="A17" s="45" t="inlineStr">
        <is>
          <t>EVT-2025-016</t>
        </is>
      </c>
      <c r="B17" s="51" t="inlineStr">
        <is>
          <t>Genetrix Speaker Program Warsaw Jan 2025</t>
        </is>
      </c>
      <c r="C17" s="52" t="inlineStr">
        <is>
          <t>Rare Diseases</t>
        </is>
      </c>
      <c r="D17" s="52" t="inlineStr">
        <is>
          <t>Genetrix</t>
        </is>
      </c>
      <c r="E17" s="52" t="inlineStr">
        <is>
          <t>BU Rare Diseases</t>
        </is>
      </c>
      <c r="F17" s="52" t="inlineStr">
        <is>
          <t>Speaker Program</t>
        </is>
      </c>
      <c r="G17" s="153" t="n">
        <v>45659</v>
      </c>
      <c r="H17" s="153" t="n">
        <v>45661</v>
      </c>
      <c r="I17" s="54" t="n">
        <v>3</v>
      </c>
      <c r="J17" s="52" t="inlineStr">
        <is>
          <t>Warsaw</t>
        </is>
      </c>
      <c r="K17" s="52" t="inlineStr">
        <is>
          <t>Poland</t>
        </is>
      </c>
      <c r="L17" s="59" t="inlineStr">
        <is>
          <t>Closed</t>
        </is>
      </c>
      <c r="M17" s="51" t="inlineStr">
        <is>
          <t>Sophie Müller</t>
        </is>
      </c>
      <c r="N17" s="52" t="inlineStr">
        <is>
          <t>CC-9380</t>
        </is>
      </c>
      <c r="O17" s="52" t="inlineStr">
        <is>
          <t>GL-6312</t>
        </is>
      </c>
      <c r="P17" s="153" t="n">
        <v>45528</v>
      </c>
      <c r="Q17" s="153" t="n">
        <v>45553</v>
      </c>
      <c r="R17" s="51" t="inlineStr"/>
    </row>
    <row r="18" ht="18" customHeight="1">
      <c r="A18" s="45" t="inlineStr">
        <is>
          <t>EVT-2025-017</t>
        </is>
      </c>
      <c r="B18" s="46" t="inlineStr">
        <is>
          <t>Eplitazan Internal Meeting Budapest Nov 2025</t>
        </is>
      </c>
      <c r="C18" s="47" t="inlineStr">
        <is>
          <t>Cardiology</t>
        </is>
      </c>
      <c r="D18" s="47" t="inlineStr">
        <is>
          <t>Eplitazan</t>
        </is>
      </c>
      <c r="E18" s="47" t="inlineStr">
        <is>
          <t>BU Cardiovascular</t>
        </is>
      </c>
      <c r="F18" s="47" t="inlineStr">
        <is>
          <t>Internal Meeting</t>
        </is>
      </c>
      <c r="G18" s="152" t="n">
        <v>45969</v>
      </c>
      <c r="H18" s="152" t="n">
        <v>45970</v>
      </c>
      <c r="I18" s="49" t="n">
        <v>2</v>
      </c>
      <c r="J18" s="47" t="inlineStr">
        <is>
          <t>Budapest</t>
        </is>
      </c>
      <c r="K18" s="47" t="inlineStr">
        <is>
          <t>Hungary</t>
        </is>
      </c>
      <c r="L18" s="55" t="inlineStr">
        <is>
          <t>Confirmed</t>
        </is>
      </c>
      <c r="M18" s="46" t="inlineStr">
        <is>
          <t>Sophie Müller</t>
        </is>
      </c>
      <c r="N18" s="47" t="inlineStr">
        <is>
          <t>CC-5631</t>
        </is>
      </c>
      <c r="O18" s="47" t="inlineStr">
        <is>
          <t>GL-6312</t>
        </is>
      </c>
      <c r="P18" s="152" t="n">
        <v>45822</v>
      </c>
      <c r="Q18" s="152" t="n">
        <v>45830</v>
      </c>
      <c r="R18" s="46" t="inlineStr"/>
    </row>
    <row r="19" ht="18" customHeight="1">
      <c r="A19" s="45" t="inlineStr">
        <is>
          <t>EVT-2025-018</t>
        </is>
      </c>
      <c r="B19" s="51" t="inlineStr">
        <is>
          <t>Caprexosin Launch Event Prague Jan 2025</t>
        </is>
      </c>
      <c r="C19" s="52" t="inlineStr">
        <is>
          <t>Oncology</t>
        </is>
      </c>
      <c r="D19" s="52" t="inlineStr">
        <is>
          <t>Caprexosin</t>
        </is>
      </c>
      <c r="E19" s="52" t="inlineStr">
        <is>
          <t>BU Oncology</t>
        </is>
      </c>
      <c r="F19" s="52" t="inlineStr">
        <is>
          <t>Launch Event</t>
        </is>
      </c>
      <c r="G19" s="153" t="n">
        <v>45667</v>
      </c>
      <c r="H19" s="153" t="n">
        <v>45668</v>
      </c>
      <c r="I19" s="54" t="n">
        <v>2</v>
      </c>
      <c r="J19" s="52" t="inlineStr">
        <is>
          <t>Prague</t>
        </is>
      </c>
      <c r="K19" s="52" t="inlineStr">
        <is>
          <t>Czech Republic</t>
        </is>
      </c>
      <c r="L19" s="59" t="inlineStr">
        <is>
          <t>Closed</t>
        </is>
      </c>
      <c r="M19" s="51" t="inlineStr">
        <is>
          <t>Isabel Ferreira</t>
        </is>
      </c>
      <c r="N19" s="52" t="inlineStr">
        <is>
          <t>CC-8892</t>
        </is>
      </c>
      <c r="O19" s="52" t="inlineStr">
        <is>
          <t>GL-6310</t>
        </is>
      </c>
      <c r="P19" s="153" t="n">
        <v>45564</v>
      </c>
      <c r="Q19" s="153" t="n">
        <v>45577</v>
      </c>
      <c r="R19" s="51" t="inlineStr"/>
    </row>
    <row r="20" ht="18" customHeight="1">
      <c r="A20" s="45" t="inlineStr">
        <is>
          <t>EVT-2025-019</t>
        </is>
      </c>
      <c r="B20" s="46" t="inlineStr">
        <is>
          <t>Influximab Advisory Board London Sep 2025</t>
        </is>
      </c>
      <c r="C20" s="47" t="inlineStr">
        <is>
          <t>Immunology</t>
        </is>
      </c>
      <c r="D20" s="47" t="inlineStr">
        <is>
          <t>Influximab</t>
        </is>
      </c>
      <c r="E20" s="47" t="inlineStr">
        <is>
          <t>BU Immunology</t>
        </is>
      </c>
      <c r="F20" s="47" t="inlineStr">
        <is>
          <t>Advisory Board</t>
        </is>
      </c>
      <c r="G20" s="152" t="n">
        <v>45906</v>
      </c>
      <c r="H20" s="152" t="n">
        <v>45907</v>
      </c>
      <c r="I20" s="49" t="n">
        <v>2</v>
      </c>
      <c r="J20" s="47" t="inlineStr">
        <is>
          <t>London</t>
        </is>
      </c>
      <c r="K20" s="47" t="inlineStr">
        <is>
          <t>UK</t>
        </is>
      </c>
      <c r="L20" s="59" t="inlineStr">
        <is>
          <t>Closed</t>
        </is>
      </c>
      <c r="M20" s="46" t="inlineStr">
        <is>
          <t>Lena Schneider</t>
        </is>
      </c>
      <c r="N20" s="47" t="inlineStr">
        <is>
          <t>CC-6327</t>
        </is>
      </c>
      <c r="O20" s="47" t="inlineStr">
        <is>
          <t>GL-6312</t>
        </is>
      </c>
      <c r="P20" s="152" t="n">
        <v>45813</v>
      </c>
      <c r="Q20" s="152" t="n">
        <v>45838</v>
      </c>
      <c r="R20" s="46" t="inlineStr"/>
    </row>
    <row r="21" ht="18" customHeight="1">
      <c r="A21" s="45" t="inlineStr">
        <is>
          <t>EVT-2025-020</t>
        </is>
      </c>
      <c r="B21" s="51" t="inlineStr">
        <is>
          <t>Cognivex Symposium Istanbul Mar 2025</t>
        </is>
      </c>
      <c r="C21" s="52" t="inlineStr">
        <is>
          <t>Neurology</t>
        </is>
      </c>
      <c r="D21" s="52" t="inlineStr">
        <is>
          <t>Cognivex</t>
        </is>
      </c>
      <c r="E21" s="52" t="inlineStr">
        <is>
          <t>BU Neuroscience</t>
        </is>
      </c>
      <c r="F21" s="52" t="inlineStr">
        <is>
          <t>Symposium</t>
        </is>
      </c>
      <c r="G21" s="153" t="n">
        <v>45742</v>
      </c>
      <c r="H21" s="153" t="n">
        <v>45745</v>
      </c>
      <c r="I21" s="54" t="n">
        <v>4</v>
      </c>
      <c r="J21" s="52" t="inlineStr">
        <is>
          <t>Istanbul</t>
        </is>
      </c>
      <c r="K21" s="52" t="inlineStr">
        <is>
          <t>Turkey</t>
        </is>
      </c>
      <c r="L21" s="50" t="inlineStr">
        <is>
          <t>Completed</t>
        </is>
      </c>
      <c r="M21" s="51" t="inlineStr">
        <is>
          <t>David O'Brien</t>
        </is>
      </c>
      <c r="N21" s="52" t="inlineStr">
        <is>
          <t>CC-5895</t>
        </is>
      </c>
      <c r="O21" s="52" t="inlineStr">
        <is>
          <t>GL-6311</t>
        </is>
      </c>
      <c r="P21" s="153" t="n">
        <v>45663</v>
      </c>
      <c r="Q21" s="153" t="n">
        <v>45684</v>
      </c>
      <c r="R21" s="51" t="inlineStr"/>
    </row>
    <row r="22" ht="18" customHeight="1">
      <c r="A22" s="45" t="inlineStr">
        <is>
          <t>EVT-2025-021</t>
        </is>
      </c>
      <c r="B22" s="46" t="inlineStr">
        <is>
          <t>Influximab KOL Meeting Copenhagen Jul 2025</t>
        </is>
      </c>
      <c r="C22" s="47" t="inlineStr">
        <is>
          <t>Immunology</t>
        </is>
      </c>
      <c r="D22" s="47" t="inlineStr">
        <is>
          <t>Influximab</t>
        </is>
      </c>
      <c r="E22" s="47" t="inlineStr">
        <is>
          <t>BU Immunology</t>
        </is>
      </c>
      <c r="F22" s="47" t="inlineStr">
        <is>
          <t>KOL Meeting</t>
        </is>
      </c>
      <c r="G22" s="152" t="n">
        <v>45862</v>
      </c>
      <c r="H22" s="152" t="n">
        <v>45864</v>
      </c>
      <c r="I22" s="49" t="n">
        <v>3</v>
      </c>
      <c r="J22" s="47" t="inlineStr">
        <is>
          <t>Copenhagen</t>
        </is>
      </c>
      <c r="K22" s="47" t="inlineStr">
        <is>
          <t>Denmark</t>
        </is>
      </c>
      <c r="L22" s="50" t="inlineStr">
        <is>
          <t>Completed</t>
        </is>
      </c>
      <c r="M22" s="46" t="inlineStr">
        <is>
          <t>Lena Schneider</t>
        </is>
      </c>
      <c r="N22" s="47" t="inlineStr">
        <is>
          <t>CC-4937</t>
        </is>
      </c>
      <c r="O22" s="47" t="inlineStr">
        <is>
          <t>GL-6310</t>
        </is>
      </c>
      <c r="P22" s="152" t="n">
        <v>45699</v>
      </c>
      <c r="Q22" s="152" t="n">
        <v>45729</v>
      </c>
      <c r="R22" s="46" t="inlineStr"/>
    </row>
    <row r="23" ht="18" customHeight="1">
      <c r="A23" s="45" t="inlineStr">
        <is>
          <t>EVT-2025-022</t>
        </is>
      </c>
      <c r="B23" s="51" t="inlineStr">
        <is>
          <t>Imunexal Advisory Board Stockholm Jan 2025</t>
        </is>
      </c>
      <c r="C23" s="52" t="inlineStr">
        <is>
          <t>Immunology</t>
        </is>
      </c>
      <c r="D23" s="52" t="inlineStr">
        <is>
          <t>Imunexal</t>
        </is>
      </c>
      <c r="E23" s="52" t="inlineStr">
        <is>
          <t>BU Immunology</t>
        </is>
      </c>
      <c r="F23" s="52" t="inlineStr">
        <is>
          <t>Advisory Board</t>
        </is>
      </c>
      <c r="G23" s="153" t="n">
        <v>45668</v>
      </c>
      <c r="H23" s="153" t="n">
        <v>45669</v>
      </c>
      <c r="I23" s="54" t="n">
        <v>2</v>
      </c>
      <c r="J23" s="52" t="inlineStr">
        <is>
          <t>Stockholm</t>
        </is>
      </c>
      <c r="K23" s="52" t="inlineStr">
        <is>
          <t>Sweden</t>
        </is>
      </c>
      <c r="L23" s="50" t="inlineStr">
        <is>
          <t>Completed</t>
        </is>
      </c>
      <c r="M23" s="51" t="inlineStr">
        <is>
          <t>Ana García</t>
        </is>
      </c>
      <c r="N23" s="52" t="inlineStr">
        <is>
          <t>CC-7620</t>
        </is>
      </c>
      <c r="O23" s="52" t="inlineStr">
        <is>
          <t>GL-6312</t>
        </is>
      </c>
      <c r="P23" s="153" t="n">
        <v>45521</v>
      </c>
      <c r="Q23" s="153" t="n">
        <v>45530</v>
      </c>
      <c r="R23" s="51" t="inlineStr"/>
    </row>
    <row r="24" ht="18" customHeight="1">
      <c r="A24" s="45" t="inlineStr">
        <is>
          <t>EVT-2025-023</t>
        </is>
      </c>
      <c r="B24" s="46" t="inlineStr">
        <is>
          <t>Nexolimab Advisory Board Barcelona Jun 2025</t>
        </is>
      </c>
      <c r="C24" s="47" t="inlineStr">
        <is>
          <t>Oncology</t>
        </is>
      </c>
      <c r="D24" s="47" t="inlineStr">
        <is>
          <t>Nexolimab</t>
        </is>
      </c>
      <c r="E24" s="47" t="inlineStr">
        <is>
          <t>BU Oncology</t>
        </is>
      </c>
      <c r="F24" s="47" t="inlineStr">
        <is>
          <t>Advisory Board</t>
        </is>
      </c>
      <c r="G24" s="152" t="n">
        <v>45827</v>
      </c>
      <c r="H24" s="152" t="n">
        <v>45828</v>
      </c>
      <c r="I24" s="49" t="n">
        <v>2</v>
      </c>
      <c r="J24" s="47" t="inlineStr">
        <is>
          <t>Barcelona</t>
        </is>
      </c>
      <c r="K24" s="47" t="inlineStr">
        <is>
          <t>Spain</t>
        </is>
      </c>
      <c r="L24" s="50" t="inlineStr">
        <is>
          <t>Completed</t>
        </is>
      </c>
      <c r="M24" s="46" t="inlineStr">
        <is>
          <t>Isabel Ferreira</t>
        </is>
      </c>
      <c r="N24" s="47" t="inlineStr">
        <is>
          <t>CC-1417</t>
        </is>
      </c>
      <c r="O24" s="47" t="inlineStr">
        <is>
          <t>GL-6315</t>
        </is>
      </c>
      <c r="P24" s="152" t="n">
        <v>45730</v>
      </c>
      <c r="Q24" s="152" t="n">
        <v>45743</v>
      </c>
      <c r="R24" s="46" t="inlineStr"/>
    </row>
    <row r="25" ht="18" customHeight="1">
      <c r="A25" s="45" t="inlineStr">
        <is>
          <t>EVT-2025-024</t>
        </is>
      </c>
      <c r="B25" s="51" t="inlineStr">
        <is>
          <t>Influximab Speaker Program Dublin Oct 2025</t>
        </is>
      </c>
      <c r="C25" s="52" t="inlineStr">
        <is>
          <t>Immunology</t>
        </is>
      </c>
      <c r="D25" s="52" t="inlineStr">
        <is>
          <t>Influximab</t>
        </is>
      </c>
      <c r="E25" s="52" t="inlineStr">
        <is>
          <t>BU Immunology</t>
        </is>
      </c>
      <c r="F25" s="52" t="inlineStr">
        <is>
          <t>Speaker Program</t>
        </is>
      </c>
      <c r="G25" s="153" t="n">
        <v>45953</v>
      </c>
      <c r="H25" s="153" t="n">
        <v>45955</v>
      </c>
      <c r="I25" s="54" t="n">
        <v>3</v>
      </c>
      <c r="J25" s="52" t="inlineStr">
        <is>
          <t>Dublin</t>
        </is>
      </c>
      <c r="K25" s="52" t="inlineStr">
        <is>
          <t>Ireland</t>
        </is>
      </c>
      <c r="L25" s="55" t="inlineStr">
        <is>
          <t>Confirmed</t>
        </is>
      </c>
      <c r="M25" s="51" t="inlineStr">
        <is>
          <t>Carlos Navarro</t>
        </is>
      </c>
      <c r="N25" s="52" t="inlineStr">
        <is>
          <t>CC-7857</t>
        </is>
      </c>
      <c r="O25" s="52" t="inlineStr">
        <is>
          <t>GL-6315</t>
        </is>
      </c>
      <c r="P25" s="153" t="n">
        <v>45844</v>
      </c>
      <c r="Q25" s="153" t="n">
        <v>45872</v>
      </c>
      <c r="R25" s="51" t="inlineStr"/>
    </row>
    <row r="26" ht="18" customHeight="1">
      <c r="A26" s="45" t="inlineStr">
        <is>
          <t>EVT-2025-025</t>
        </is>
      </c>
      <c r="B26" s="46" t="inlineStr">
        <is>
          <t>Imunexal Advisory Board Athens Jul 2025</t>
        </is>
      </c>
      <c r="C26" s="47" t="inlineStr">
        <is>
          <t>Immunology</t>
        </is>
      </c>
      <c r="D26" s="47" t="inlineStr">
        <is>
          <t>Imunexal</t>
        </is>
      </c>
      <c r="E26" s="47" t="inlineStr">
        <is>
          <t>BU Immunology</t>
        </is>
      </c>
      <c r="F26" s="47" t="inlineStr">
        <is>
          <t>Advisory Board</t>
        </is>
      </c>
      <c r="G26" s="152" t="n">
        <v>45839</v>
      </c>
      <c r="H26" s="152" t="n">
        <v>45841</v>
      </c>
      <c r="I26" s="49" t="n">
        <v>3</v>
      </c>
      <c r="J26" s="47" t="inlineStr">
        <is>
          <t>Athens</t>
        </is>
      </c>
      <c r="K26" s="47" t="inlineStr">
        <is>
          <t>Greece</t>
        </is>
      </c>
      <c r="L26" s="50" t="inlineStr">
        <is>
          <t>Completed</t>
        </is>
      </c>
      <c r="M26" s="46" t="inlineStr">
        <is>
          <t>Thomas Dubois</t>
        </is>
      </c>
      <c r="N26" s="47" t="inlineStr">
        <is>
          <t>CC-1578</t>
        </is>
      </c>
      <c r="O26" s="47" t="inlineStr">
        <is>
          <t>GL-6320</t>
        </is>
      </c>
      <c r="P26" s="152" t="n">
        <v>45689</v>
      </c>
      <c r="Q26" s="152" t="n">
        <v>45712</v>
      </c>
      <c r="R26" s="46" t="inlineStr"/>
    </row>
    <row r="27" ht="18" customHeight="1">
      <c r="A27" s="45" t="inlineStr">
        <is>
          <t>EVT-2025-026</t>
        </is>
      </c>
      <c r="B27" s="51" t="inlineStr">
        <is>
          <t>Cordavex Investigator Meeting Stockholm Feb 2025</t>
        </is>
      </c>
      <c r="C27" s="52" t="inlineStr">
        <is>
          <t>Cardiology</t>
        </is>
      </c>
      <c r="D27" s="52" t="inlineStr">
        <is>
          <t>Cordavex</t>
        </is>
      </c>
      <c r="E27" s="52" t="inlineStr">
        <is>
          <t>BU Cardiovascular</t>
        </is>
      </c>
      <c r="F27" s="52" t="inlineStr">
        <is>
          <t>Investigator Meeting</t>
        </is>
      </c>
      <c r="G27" s="153" t="n">
        <v>45713</v>
      </c>
      <c r="H27" s="153" t="n">
        <v>45715</v>
      </c>
      <c r="I27" s="54" t="n">
        <v>3</v>
      </c>
      <c r="J27" s="52" t="inlineStr">
        <is>
          <t>Stockholm</t>
        </is>
      </c>
      <c r="K27" s="52" t="inlineStr">
        <is>
          <t>Sweden</t>
        </is>
      </c>
      <c r="L27" s="55" t="inlineStr">
        <is>
          <t>Confirmed</t>
        </is>
      </c>
      <c r="M27" s="51" t="inlineStr">
        <is>
          <t>Lena Schneider</t>
        </is>
      </c>
      <c r="N27" s="52" t="inlineStr">
        <is>
          <t>CC-4111</t>
        </is>
      </c>
      <c r="O27" s="52" t="inlineStr">
        <is>
          <t>GL-6312</t>
        </is>
      </c>
      <c r="P27" s="153" t="n">
        <v>45561</v>
      </c>
      <c r="Q27" s="153" t="n">
        <v>45588</v>
      </c>
      <c r="R27" s="51" t="inlineStr"/>
    </row>
    <row r="28" ht="18" customHeight="1">
      <c r="A28" s="45" t="inlineStr">
        <is>
          <t>EVT-2025-027</t>
        </is>
      </c>
      <c r="B28" s="46" t="inlineStr">
        <is>
          <t>Hemaflex Internal Meeting Warsaw May 2025</t>
        </is>
      </c>
      <c r="C28" s="47" t="inlineStr">
        <is>
          <t>Hematology</t>
        </is>
      </c>
      <c r="D28" s="47" t="inlineStr">
        <is>
          <t>Hemaflex</t>
        </is>
      </c>
      <c r="E28" s="47" t="inlineStr">
        <is>
          <t>BU Oncology</t>
        </is>
      </c>
      <c r="F28" s="47" t="inlineStr">
        <is>
          <t>Internal Meeting</t>
        </is>
      </c>
      <c r="G28" s="152" t="n">
        <v>45785</v>
      </c>
      <c r="H28" s="152" t="n">
        <v>45786</v>
      </c>
      <c r="I28" s="49" t="n">
        <v>2</v>
      </c>
      <c r="J28" s="47" t="inlineStr">
        <is>
          <t>Warsaw</t>
        </is>
      </c>
      <c r="K28" s="47" t="inlineStr">
        <is>
          <t>Poland</t>
        </is>
      </c>
      <c r="L28" s="50" t="inlineStr">
        <is>
          <t>Completed</t>
        </is>
      </c>
      <c r="M28" s="46" t="inlineStr">
        <is>
          <t>Lena Schneider</t>
        </is>
      </c>
      <c r="N28" s="47" t="inlineStr">
        <is>
          <t>CC-4643</t>
        </is>
      </c>
      <c r="O28" s="47" t="inlineStr">
        <is>
          <t>GL-6320</t>
        </is>
      </c>
      <c r="P28" s="152" t="n">
        <v>45644</v>
      </c>
      <c r="Q28" s="152" t="n">
        <v>45674</v>
      </c>
      <c r="R28" s="46" t="inlineStr"/>
    </row>
    <row r="29" ht="18" customHeight="1">
      <c r="A29" s="45" t="inlineStr">
        <is>
          <t>EVT-2025-028</t>
        </is>
      </c>
      <c r="B29" s="51" t="inlineStr">
        <is>
          <t>Nexolimab KOL Meeting Milan Jul 2025</t>
        </is>
      </c>
      <c r="C29" s="52" t="inlineStr">
        <is>
          <t>Oncology</t>
        </is>
      </c>
      <c r="D29" s="52" t="inlineStr">
        <is>
          <t>Nexolimab</t>
        </is>
      </c>
      <c r="E29" s="52" t="inlineStr">
        <is>
          <t>BU Oncology</t>
        </is>
      </c>
      <c r="F29" s="52" t="inlineStr">
        <is>
          <t>KOL Meeting</t>
        </is>
      </c>
      <c r="G29" s="153" t="n">
        <v>45866</v>
      </c>
      <c r="H29" s="153" t="n">
        <v>45868</v>
      </c>
      <c r="I29" s="54" t="n">
        <v>3</v>
      </c>
      <c r="J29" s="52" t="inlineStr">
        <is>
          <t>Milan</t>
        </is>
      </c>
      <c r="K29" s="52" t="inlineStr">
        <is>
          <t>Italy</t>
        </is>
      </c>
      <c r="L29" s="50" t="inlineStr">
        <is>
          <t>Completed</t>
        </is>
      </c>
      <c r="M29" s="51" t="inlineStr">
        <is>
          <t>Emma Johansson</t>
        </is>
      </c>
      <c r="N29" s="52" t="inlineStr">
        <is>
          <t>CC-8794</t>
        </is>
      </c>
      <c r="O29" s="52" t="inlineStr">
        <is>
          <t>GL-6312</t>
        </is>
      </c>
      <c r="P29" s="153" t="n">
        <v>45742</v>
      </c>
      <c r="Q29" s="153" t="n">
        <v>45756</v>
      </c>
      <c r="R29" s="51" t="inlineStr"/>
    </row>
    <row r="30" ht="18" customHeight="1">
      <c r="A30" s="45" t="inlineStr">
        <is>
          <t>EVT-2025-029</t>
        </is>
      </c>
      <c r="B30" s="46" t="inlineStr">
        <is>
          <t>Axotrin Congress Lisbon May 2025</t>
        </is>
      </c>
      <c r="C30" s="47" t="inlineStr">
        <is>
          <t>Neurology</t>
        </is>
      </c>
      <c r="D30" s="47" t="inlineStr">
        <is>
          <t>Axotrin</t>
        </is>
      </c>
      <c r="E30" s="47" t="inlineStr">
        <is>
          <t>BU Neuroscience</t>
        </is>
      </c>
      <c r="F30" s="47" t="inlineStr">
        <is>
          <t>Congress</t>
        </is>
      </c>
      <c r="G30" s="152" t="n">
        <v>45793</v>
      </c>
      <c r="H30" s="152" t="n">
        <v>45797</v>
      </c>
      <c r="I30" s="49" t="n">
        <v>5</v>
      </c>
      <c r="J30" s="47" t="inlineStr">
        <is>
          <t>Lisbon</t>
        </is>
      </c>
      <c r="K30" s="47" t="inlineStr">
        <is>
          <t>Portugal</t>
        </is>
      </c>
      <c r="L30" s="57" t="inlineStr">
        <is>
          <t>In Progress</t>
        </is>
      </c>
      <c r="M30" s="46" t="inlineStr">
        <is>
          <t>Thomas Dubois</t>
        </is>
      </c>
      <c r="N30" s="47" t="inlineStr">
        <is>
          <t>CC-3785</t>
        </is>
      </c>
      <c r="O30" s="47" t="inlineStr">
        <is>
          <t>GL-6320</t>
        </is>
      </c>
      <c r="P30" s="152" t="n">
        <v>45710</v>
      </c>
      <c r="Q30" s="152" t="n">
        <v>45724</v>
      </c>
      <c r="R30" s="46" t="inlineStr"/>
    </row>
    <row r="31" ht="18" customHeight="1">
      <c r="A31" s="45" t="inlineStr">
        <is>
          <t>EVT-2025-030</t>
        </is>
      </c>
      <c r="B31" s="51" t="inlineStr">
        <is>
          <t>Gastroven KOL Meeting Copenhagen Apr 2025</t>
        </is>
      </c>
      <c r="C31" s="52" t="inlineStr">
        <is>
          <t>Gastroenterology</t>
        </is>
      </c>
      <c r="D31" s="52" t="inlineStr">
        <is>
          <t>Gastroven</t>
        </is>
      </c>
      <c r="E31" s="52" t="inlineStr">
        <is>
          <t>BU Cardiovascular</t>
        </is>
      </c>
      <c r="F31" s="52" t="inlineStr">
        <is>
          <t>KOL Meeting</t>
        </is>
      </c>
      <c r="G31" s="153" t="n">
        <v>45769</v>
      </c>
      <c r="H31" s="153" t="n">
        <v>45770</v>
      </c>
      <c r="I31" s="54" t="n">
        <v>2</v>
      </c>
      <c r="J31" s="52" t="inlineStr">
        <is>
          <t>Copenhagen</t>
        </is>
      </c>
      <c r="K31" s="52" t="inlineStr">
        <is>
          <t>Denmark</t>
        </is>
      </c>
      <c r="L31" s="50" t="inlineStr">
        <is>
          <t>Completed</t>
        </is>
      </c>
      <c r="M31" s="51" t="inlineStr">
        <is>
          <t>Lena Schneider</t>
        </is>
      </c>
      <c r="N31" s="52" t="inlineStr">
        <is>
          <t>CC-2599</t>
        </is>
      </c>
      <c r="O31" s="52" t="inlineStr">
        <is>
          <t>GL-6315</t>
        </is>
      </c>
      <c r="P31" s="153" t="n">
        <v>45693</v>
      </c>
      <c r="Q31" s="153" t="n">
        <v>45721</v>
      </c>
      <c r="R31" s="51" t="inlineStr"/>
    </row>
    <row r="32" ht="18" customHeight="1">
      <c r="A32" s="45" t="inlineStr">
        <is>
          <t>EVT-2025-031</t>
        </is>
      </c>
      <c r="B32" s="46" t="inlineStr">
        <is>
          <t>Antivex Congress Dublin Sep 2025</t>
        </is>
      </c>
      <c r="C32" s="47" t="inlineStr">
        <is>
          <t>Infectious Diseases</t>
        </is>
      </c>
      <c r="D32" s="47" t="inlineStr">
        <is>
          <t>Antivex</t>
        </is>
      </c>
      <c r="E32" s="47" t="inlineStr">
        <is>
          <t>BU Infectious Diseases</t>
        </is>
      </c>
      <c r="F32" s="47" t="inlineStr">
        <is>
          <t>Congress</t>
        </is>
      </c>
      <c r="G32" s="152" t="n">
        <v>45902</v>
      </c>
      <c r="H32" s="152" t="n">
        <v>45907</v>
      </c>
      <c r="I32" s="49" t="n">
        <v>6</v>
      </c>
      <c r="J32" s="47" t="inlineStr">
        <is>
          <t>Dublin</t>
        </is>
      </c>
      <c r="K32" s="47" t="inlineStr">
        <is>
          <t>Ireland</t>
        </is>
      </c>
      <c r="L32" s="59" t="inlineStr">
        <is>
          <t>Closed</t>
        </is>
      </c>
      <c r="M32" s="46" t="inlineStr">
        <is>
          <t>Lena Schneider</t>
        </is>
      </c>
      <c r="N32" s="47" t="inlineStr">
        <is>
          <t>CC-5237</t>
        </is>
      </c>
      <c r="O32" s="47" t="inlineStr">
        <is>
          <t>GL-6320</t>
        </is>
      </c>
      <c r="P32" s="152" t="n">
        <v>45745</v>
      </c>
      <c r="Q32" s="152" t="n">
        <v>45755</v>
      </c>
      <c r="R32" s="46" t="inlineStr"/>
    </row>
    <row r="33" ht="18" customHeight="1">
      <c r="A33" s="45" t="inlineStr">
        <is>
          <t>EVT-2025-032</t>
        </is>
      </c>
      <c r="B33" s="51" t="inlineStr">
        <is>
          <t>Cordavex Advisory Board Helsinki Feb 2025</t>
        </is>
      </c>
      <c r="C33" s="52" t="inlineStr">
        <is>
          <t>Cardiology</t>
        </is>
      </c>
      <c r="D33" s="52" t="inlineStr">
        <is>
          <t>Cordavex</t>
        </is>
      </c>
      <c r="E33" s="52" t="inlineStr">
        <is>
          <t>BU Cardiovascular</t>
        </is>
      </c>
      <c r="F33" s="52" t="inlineStr">
        <is>
          <t>Advisory Board</t>
        </is>
      </c>
      <c r="G33" s="153" t="n">
        <v>45692</v>
      </c>
      <c r="H33" s="153" t="n">
        <v>45693</v>
      </c>
      <c r="I33" s="54" t="n">
        <v>2</v>
      </c>
      <c r="J33" s="52" t="inlineStr">
        <is>
          <t>Helsinki</t>
        </is>
      </c>
      <c r="K33" s="52" t="inlineStr">
        <is>
          <t>Finland</t>
        </is>
      </c>
      <c r="L33" s="50" t="inlineStr">
        <is>
          <t>Completed</t>
        </is>
      </c>
      <c r="M33" s="51" t="inlineStr">
        <is>
          <t>David O'Brien</t>
        </is>
      </c>
      <c r="N33" s="52" t="inlineStr">
        <is>
          <t>CC-6499</t>
        </is>
      </c>
      <c r="O33" s="52" t="inlineStr">
        <is>
          <t>GL-6310</t>
        </is>
      </c>
      <c r="P33" s="153" t="n">
        <v>45604</v>
      </c>
      <c r="Q33" s="153" t="n">
        <v>45620</v>
      </c>
      <c r="R33" s="51" t="inlineStr"/>
    </row>
    <row r="34" ht="18" customHeight="1">
      <c r="A34" s="45" t="inlineStr">
        <is>
          <t>EVT-2025-033</t>
        </is>
      </c>
      <c r="B34" s="46" t="inlineStr">
        <is>
          <t>Caprexosin Advisory Board Athens Dec 2025</t>
        </is>
      </c>
      <c r="C34" s="47" t="inlineStr">
        <is>
          <t>Oncology</t>
        </is>
      </c>
      <c r="D34" s="47" t="inlineStr">
        <is>
          <t>Caprexosin</t>
        </is>
      </c>
      <c r="E34" s="47" t="inlineStr">
        <is>
          <t>BU Oncology</t>
        </is>
      </c>
      <c r="F34" s="47" t="inlineStr">
        <is>
          <t>Advisory Board</t>
        </is>
      </c>
      <c r="G34" s="152" t="n">
        <v>45994</v>
      </c>
      <c r="H34" s="152" t="n">
        <v>45996</v>
      </c>
      <c r="I34" s="49" t="n">
        <v>3</v>
      </c>
      <c r="J34" s="47" t="inlineStr">
        <is>
          <t>Athens</t>
        </is>
      </c>
      <c r="K34" s="47" t="inlineStr">
        <is>
          <t>Greece</t>
        </is>
      </c>
      <c r="L34" s="59" t="inlineStr">
        <is>
          <t>Closed</t>
        </is>
      </c>
      <c r="M34" s="46" t="inlineStr">
        <is>
          <t>James Wilson</t>
        </is>
      </c>
      <c r="N34" s="47" t="inlineStr">
        <is>
          <t>CC-4659</t>
        </is>
      </c>
      <c r="O34" s="47" t="inlineStr">
        <is>
          <t>GL-6312</t>
        </is>
      </c>
      <c r="P34" s="152" t="n">
        <v>45881</v>
      </c>
      <c r="Q34" s="152" t="n">
        <v>45911</v>
      </c>
      <c r="R34" s="46" t="inlineStr"/>
    </row>
    <row r="35" ht="18" customHeight="1">
      <c r="A35" s="45" t="inlineStr">
        <is>
          <t>EVT-2025-034</t>
        </is>
      </c>
      <c r="B35" s="51" t="inlineStr">
        <is>
          <t>Antivex Internal Meeting Lisbon Mar 2025</t>
        </is>
      </c>
      <c r="C35" s="52" t="inlineStr">
        <is>
          <t>Infectious Diseases</t>
        </is>
      </c>
      <c r="D35" s="52" t="inlineStr">
        <is>
          <t>Antivex</t>
        </is>
      </c>
      <c r="E35" s="52" t="inlineStr">
        <is>
          <t>BU Infectious Diseases</t>
        </is>
      </c>
      <c r="F35" s="52" t="inlineStr">
        <is>
          <t>Internal Meeting</t>
        </is>
      </c>
      <c r="G35" s="153" t="n">
        <v>45725</v>
      </c>
      <c r="H35" s="153" t="n">
        <v>45727</v>
      </c>
      <c r="I35" s="54" t="n">
        <v>3</v>
      </c>
      <c r="J35" s="52" t="inlineStr">
        <is>
          <t>Lisbon</t>
        </is>
      </c>
      <c r="K35" s="52" t="inlineStr">
        <is>
          <t>Portugal</t>
        </is>
      </c>
      <c r="L35" s="50" t="inlineStr">
        <is>
          <t>Completed</t>
        </is>
      </c>
      <c r="M35" s="51" t="inlineStr">
        <is>
          <t>Marco Bianchi</t>
        </is>
      </c>
      <c r="N35" s="52" t="inlineStr">
        <is>
          <t>CC-6428</t>
        </is>
      </c>
      <c r="O35" s="52" t="inlineStr">
        <is>
          <t>GL-6312</t>
        </is>
      </c>
      <c r="P35" s="153" t="n">
        <v>45632</v>
      </c>
      <c r="Q35" s="153" t="n">
        <v>45655</v>
      </c>
      <c r="R35" s="51" t="inlineStr"/>
    </row>
    <row r="36" ht="18" customHeight="1">
      <c r="A36" s="45" t="inlineStr">
        <is>
          <t>EVT-2025-035</t>
        </is>
      </c>
      <c r="B36" s="46" t="inlineStr">
        <is>
          <t>Cordavex Webinar Amsterdam Sep 2025</t>
        </is>
      </c>
      <c r="C36" s="47" t="inlineStr">
        <is>
          <t>Cardiology</t>
        </is>
      </c>
      <c r="D36" s="47" t="inlineStr">
        <is>
          <t>Cordavex</t>
        </is>
      </c>
      <c r="E36" s="47" t="inlineStr">
        <is>
          <t>BU Cardiovascular</t>
        </is>
      </c>
      <c r="F36" s="47" t="inlineStr">
        <is>
          <t>Webinar</t>
        </is>
      </c>
      <c r="G36" s="152" t="n">
        <v>45917</v>
      </c>
      <c r="H36" s="152" t="n">
        <v>45919</v>
      </c>
      <c r="I36" s="49" t="n">
        <v>3</v>
      </c>
      <c r="J36" s="47" t="inlineStr">
        <is>
          <t>Amsterdam</t>
        </is>
      </c>
      <c r="K36" s="47" t="inlineStr">
        <is>
          <t>Netherlands</t>
        </is>
      </c>
      <c r="L36" s="55" t="inlineStr">
        <is>
          <t>Confirmed</t>
        </is>
      </c>
      <c r="M36" s="46" t="inlineStr">
        <is>
          <t>Lucas Dupont</t>
        </is>
      </c>
      <c r="N36" s="47" t="inlineStr">
        <is>
          <t>CC-5817</t>
        </is>
      </c>
      <c r="O36" s="47" t="inlineStr">
        <is>
          <t>GL-6315</t>
        </is>
      </c>
      <c r="P36" s="152" t="n">
        <v>45749</v>
      </c>
      <c r="Q36" s="152" t="n">
        <v>45757</v>
      </c>
      <c r="R36" s="46" t="inlineStr"/>
    </row>
    <row r="37" ht="18" customHeight="1">
      <c r="A37" s="45" t="inlineStr">
        <is>
          <t>EVT-2025-036</t>
        </is>
      </c>
      <c r="B37" s="51" t="inlineStr">
        <is>
          <t>Bioflair Internal Meeting Milan Aug 2025</t>
        </is>
      </c>
      <c r="C37" s="52" t="inlineStr">
        <is>
          <t>Immunology</t>
        </is>
      </c>
      <c r="D37" s="52" t="inlineStr">
        <is>
          <t>Bioflair</t>
        </is>
      </c>
      <c r="E37" s="52" t="inlineStr">
        <is>
          <t>BU Immunology</t>
        </is>
      </c>
      <c r="F37" s="52" t="inlineStr">
        <is>
          <t>Internal Meeting</t>
        </is>
      </c>
      <c r="G37" s="153" t="n">
        <v>45882</v>
      </c>
      <c r="H37" s="153" t="n">
        <v>45884</v>
      </c>
      <c r="I37" s="54" t="n">
        <v>3</v>
      </c>
      <c r="J37" s="52" t="inlineStr">
        <is>
          <t>Milan</t>
        </is>
      </c>
      <c r="K37" s="52" t="inlineStr">
        <is>
          <t>Italy</t>
        </is>
      </c>
      <c r="L37" s="50" t="inlineStr">
        <is>
          <t>Completed</t>
        </is>
      </c>
      <c r="M37" s="51" t="inlineStr">
        <is>
          <t>Maria Kowalski</t>
        </is>
      </c>
      <c r="N37" s="52" t="inlineStr">
        <is>
          <t>CC-8709</t>
        </is>
      </c>
      <c r="O37" s="52" t="inlineStr">
        <is>
          <t>GL-6310</t>
        </is>
      </c>
      <c r="P37" s="153" t="n">
        <v>45712</v>
      </c>
      <c r="Q37" s="153" t="n">
        <v>45737</v>
      </c>
      <c r="R37" s="51" t="inlineStr"/>
    </row>
    <row r="38" ht="18" customHeight="1">
      <c r="A38" s="45" t="inlineStr">
        <is>
          <t>EVT-2025-037</t>
        </is>
      </c>
      <c r="B38" s="46" t="inlineStr">
        <is>
          <t>Orphavex Advisory Board Berlin May 2025</t>
        </is>
      </c>
      <c r="C38" s="47" t="inlineStr">
        <is>
          <t>Rare Diseases</t>
        </is>
      </c>
      <c r="D38" s="47" t="inlineStr">
        <is>
          <t>Orphavex</t>
        </is>
      </c>
      <c r="E38" s="47" t="inlineStr">
        <is>
          <t>BU Rare Diseases</t>
        </is>
      </c>
      <c r="F38" s="47" t="inlineStr">
        <is>
          <t>Advisory Board</t>
        </is>
      </c>
      <c r="G38" s="152" t="n">
        <v>45793</v>
      </c>
      <c r="H38" s="152" t="n">
        <v>45794</v>
      </c>
      <c r="I38" s="49" t="n">
        <v>2</v>
      </c>
      <c r="J38" s="47" t="inlineStr">
        <is>
          <t>Berlin</t>
        </is>
      </c>
      <c r="K38" s="47" t="inlineStr">
        <is>
          <t>Germany</t>
        </is>
      </c>
      <c r="L38" s="60" t="inlineStr">
        <is>
          <t>On Hold</t>
        </is>
      </c>
      <c r="M38" s="46" t="inlineStr">
        <is>
          <t>Thomas Dubois</t>
        </is>
      </c>
      <c r="N38" s="47" t="inlineStr">
        <is>
          <t>CC-2166</t>
        </is>
      </c>
      <c r="O38" s="47" t="inlineStr">
        <is>
          <t>GL-6315</t>
        </is>
      </c>
      <c r="P38" s="152" t="n">
        <v>45620</v>
      </c>
      <c r="Q38" s="152" t="n">
        <v>45631</v>
      </c>
      <c r="R38" s="46" t="inlineStr"/>
    </row>
    <row r="39" ht="18" customHeight="1">
      <c r="A39" s="45" t="inlineStr">
        <is>
          <t>EVT-2025-038</t>
        </is>
      </c>
      <c r="B39" s="51" t="inlineStr">
        <is>
          <t>Genetrix Satellite Symposium Amsterdam Jun 2025</t>
        </is>
      </c>
      <c r="C39" s="52" t="inlineStr">
        <is>
          <t>Rare Diseases</t>
        </is>
      </c>
      <c r="D39" s="52" t="inlineStr">
        <is>
          <t>Genetrix</t>
        </is>
      </c>
      <c r="E39" s="52" t="inlineStr">
        <is>
          <t>BU Rare Diseases</t>
        </is>
      </c>
      <c r="F39" s="52" t="inlineStr">
        <is>
          <t>Satellite Symposium</t>
        </is>
      </c>
      <c r="G39" s="153" t="n">
        <v>45833</v>
      </c>
      <c r="H39" s="153" t="n">
        <v>45834</v>
      </c>
      <c r="I39" s="54" t="n">
        <v>2</v>
      </c>
      <c r="J39" s="52" t="inlineStr">
        <is>
          <t>Amsterdam</t>
        </is>
      </c>
      <c r="K39" s="52" t="inlineStr">
        <is>
          <t>Netherlands</t>
        </is>
      </c>
      <c r="L39" s="50" t="inlineStr">
        <is>
          <t>Completed</t>
        </is>
      </c>
      <c r="M39" s="51" t="inlineStr">
        <is>
          <t>Isabel Ferreira</t>
        </is>
      </c>
      <c r="N39" s="52" t="inlineStr">
        <is>
          <t>CC-9199</t>
        </is>
      </c>
      <c r="O39" s="52" t="inlineStr">
        <is>
          <t>GL-6310</t>
        </is>
      </c>
      <c r="P39" s="153" t="n">
        <v>45662</v>
      </c>
      <c r="Q39" s="153" t="n">
        <v>45688</v>
      </c>
      <c r="R39" s="51" t="inlineStr"/>
    </row>
    <row r="40" ht="18" customHeight="1">
      <c r="A40" s="45" t="inlineStr">
        <is>
          <t>EVT-2025-039</t>
        </is>
      </c>
      <c r="B40" s="46" t="inlineStr">
        <is>
          <t>Rarzolene Advisory Board Athens May 2025</t>
        </is>
      </c>
      <c r="C40" s="47" t="inlineStr">
        <is>
          <t>Rare Diseases</t>
        </is>
      </c>
      <c r="D40" s="47" t="inlineStr">
        <is>
          <t>Rarzolene</t>
        </is>
      </c>
      <c r="E40" s="47" t="inlineStr">
        <is>
          <t>BU Rare Diseases</t>
        </is>
      </c>
      <c r="F40" s="47" t="inlineStr">
        <is>
          <t>Advisory Board</t>
        </is>
      </c>
      <c r="G40" s="152" t="n">
        <v>45799</v>
      </c>
      <c r="H40" s="152" t="n">
        <v>45800</v>
      </c>
      <c r="I40" s="49" t="n">
        <v>2</v>
      </c>
      <c r="J40" s="47" t="inlineStr">
        <is>
          <t>Athens</t>
        </is>
      </c>
      <c r="K40" s="47" t="inlineStr">
        <is>
          <t>Greece</t>
        </is>
      </c>
      <c r="L40" s="58" t="inlineStr">
        <is>
          <t>Planning</t>
        </is>
      </c>
      <c r="M40" s="46" t="inlineStr">
        <is>
          <t>Sophie Müller</t>
        </is>
      </c>
      <c r="N40" s="47" t="inlineStr">
        <is>
          <t>CC-7253</t>
        </is>
      </c>
      <c r="O40" s="47" t="inlineStr">
        <is>
          <t>GL-6320</t>
        </is>
      </c>
      <c r="P40" s="152" t="n">
        <v>45701</v>
      </c>
      <c r="Q40" s="152" t="n">
        <v>45719</v>
      </c>
      <c r="R40" s="46" t="inlineStr"/>
    </row>
    <row r="41" ht="18" customHeight="1">
      <c r="A41" s="45" t="inlineStr">
        <is>
          <t>EVT-2025-040</t>
        </is>
      </c>
      <c r="B41" s="51" t="inlineStr">
        <is>
          <t>Rarzolene Symposium Istanbul Dec 2025</t>
        </is>
      </c>
      <c r="C41" s="52" t="inlineStr">
        <is>
          <t>Rare Diseases</t>
        </is>
      </c>
      <c r="D41" s="52" t="inlineStr">
        <is>
          <t>Rarzolene</t>
        </is>
      </c>
      <c r="E41" s="52" t="inlineStr">
        <is>
          <t>BU Rare Diseases</t>
        </is>
      </c>
      <c r="F41" s="52" t="inlineStr">
        <is>
          <t>Symposium</t>
        </is>
      </c>
      <c r="G41" s="153" t="n">
        <v>46019</v>
      </c>
      <c r="H41" s="153" t="n">
        <v>46023</v>
      </c>
      <c r="I41" s="54" t="n">
        <v>5</v>
      </c>
      <c r="J41" s="52" t="inlineStr">
        <is>
          <t>Istanbul</t>
        </is>
      </c>
      <c r="K41" s="52" t="inlineStr">
        <is>
          <t>Turkey</t>
        </is>
      </c>
      <c r="L41" s="50" t="inlineStr">
        <is>
          <t>Completed</t>
        </is>
      </c>
      <c r="M41" s="51" t="inlineStr">
        <is>
          <t>Marco Bianchi</t>
        </is>
      </c>
      <c r="N41" s="52" t="inlineStr">
        <is>
          <t>CC-1885</t>
        </is>
      </c>
      <c r="O41" s="52" t="inlineStr">
        <is>
          <t>GL-6311</t>
        </is>
      </c>
      <c r="P41" s="153" t="n">
        <v>45942</v>
      </c>
      <c r="Q41" s="153" t="n">
        <v>45953</v>
      </c>
      <c r="R41" s="51" t="inlineStr"/>
    </row>
    <row r="42" ht="18" customHeight="1">
      <c r="A42" s="45" t="inlineStr">
        <is>
          <t>EVT-2025-041</t>
        </is>
      </c>
      <c r="B42" s="46" t="inlineStr">
        <is>
          <t>Cognivex Congress Brussels Oct 2025</t>
        </is>
      </c>
      <c r="C42" s="47" t="inlineStr">
        <is>
          <t>Neurology</t>
        </is>
      </c>
      <c r="D42" s="47" t="inlineStr">
        <is>
          <t>Cognivex</t>
        </is>
      </c>
      <c r="E42" s="47" t="inlineStr">
        <is>
          <t>BU Neuroscience</t>
        </is>
      </c>
      <c r="F42" s="47" t="inlineStr">
        <is>
          <t>Congress</t>
        </is>
      </c>
      <c r="G42" s="152" t="n">
        <v>45956</v>
      </c>
      <c r="H42" s="152" t="n">
        <v>45961</v>
      </c>
      <c r="I42" s="49" t="n">
        <v>6</v>
      </c>
      <c r="J42" s="47" t="inlineStr">
        <is>
          <t>Brussels</t>
        </is>
      </c>
      <c r="K42" s="47" t="inlineStr">
        <is>
          <t>Belgium</t>
        </is>
      </c>
      <c r="L42" s="55" t="inlineStr">
        <is>
          <t>Confirmed</t>
        </is>
      </c>
      <c r="M42" s="46" t="inlineStr">
        <is>
          <t>Sophie Müller</t>
        </is>
      </c>
      <c r="N42" s="47" t="inlineStr">
        <is>
          <t>CC-6614</t>
        </is>
      </c>
      <c r="O42" s="47" t="inlineStr">
        <is>
          <t>GL-6315</t>
        </is>
      </c>
      <c r="P42" s="152" t="n">
        <v>45824</v>
      </c>
      <c r="Q42" s="152" t="n">
        <v>45843</v>
      </c>
      <c r="R42" s="46" t="inlineStr"/>
    </row>
    <row r="43" ht="18" customHeight="1">
      <c r="A43" s="45" t="inlineStr">
        <is>
          <t>EVT-2025-042</t>
        </is>
      </c>
      <c r="B43" s="51" t="inlineStr">
        <is>
          <t>Antivex Launch Event Amsterdam Dec 2025</t>
        </is>
      </c>
      <c r="C43" s="52" t="inlineStr">
        <is>
          <t>Infectious Diseases</t>
        </is>
      </c>
      <c r="D43" s="52" t="inlineStr">
        <is>
          <t>Antivex</t>
        </is>
      </c>
      <c r="E43" s="52" t="inlineStr">
        <is>
          <t>BU Infectious Diseases</t>
        </is>
      </c>
      <c r="F43" s="52" t="inlineStr">
        <is>
          <t>Launch Event</t>
        </is>
      </c>
      <c r="G43" s="153" t="n">
        <v>46007</v>
      </c>
      <c r="H43" s="153" t="n">
        <v>46008</v>
      </c>
      <c r="I43" s="54" t="n">
        <v>2</v>
      </c>
      <c r="J43" s="52" t="inlineStr">
        <is>
          <t>Amsterdam</t>
        </is>
      </c>
      <c r="K43" s="52" t="inlineStr">
        <is>
          <t>Netherlands</t>
        </is>
      </c>
      <c r="L43" s="50" t="inlineStr">
        <is>
          <t>Completed</t>
        </is>
      </c>
      <c r="M43" s="51" t="inlineStr">
        <is>
          <t>Lucas Dupont</t>
        </is>
      </c>
      <c r="N43" s="52" t="inlineStr">
        <is>
          <t>CC-3346</t>
        </is>
      </c>
      <c r="O43" s="52" t="inlineStr">
        <is>
          <t>GL-6312</t>
        </is>
      </c>
      <c r="P43" s="153" t="n">
        <v>45837</v>
      </c>
      <c r="Q43" s="153" t="n">
        <v>45864</v>
      </c>
      <c r="R43" s="51" t="inlineStr"/>
    </row>
    <row r="44" ht="18" customHeight="1">
      <c r="A44" s="45" t="inlineStr">
        <is>
          <t>EVT-2025-043</t>
        </is>
      </c>
      <c r="B44" s="46" t="inlineStr">
        <is>
          <t>Ferrozol Speaker Program Vienna Mar 2025</t>
        </is>
      </c>
      <c r="C44" s="47" t="inlineStr">
        <is>
          <t>Hematology</t>
        </is>
      </c>
      <c r="D44" s="47" t="inlineStr">
        <is>
          <t>Ferrozol</t>
        </is>
      </c>
      <c r="E44" s="47" t="inlineStr">
        <is>
          <t>BU Oncology</t>
        </is>
      </c>
      <c r="F44" s="47" t="inlineStr">
        <is>
          <t>Speaker Program</t>
        </is>
      </c>
      <c r="G44" s="152" t="n">
        <v>45741</v>
      </c>
      <c r="H44" s="152" t="n">
        <v>45742</v>
      </c>
      <c r="I44" s="49" t="n">
        <v>2</v>
      </c>
      <c r="J44" s="47" t="inlineStr">
        <is>
          <t>Vienna</t>
        </is>
      </c>
      <c r="K44" s="47" t="inlineStr">
        <is>
          <t>Austria</t>
        </is>
      </c>
      <c r="L44" s="60" t="inlineStr">
        <is>
          <t>On Hold</t>
        </is>
      </c>
      <c r="M44" s="46" t="inlineStr">
        <is>
          <t>Ana García</t>
        </is>
      </c>
      <c r="N44" s="47" t="inlineStr">
        <is>
          <t>CC-3954</t>
        </is>
      </c>
      <c r="O44" s="47" t="inlineStr">
        <is>
          <t>GL-6310</t>
        </is>
      </c>
      <c r="P44" s="152" t="n">
        <v>45619</v>
      </c>
      <c r="Q44" s="152" t="n">
        <v>45634</v>
      </c>
      <c r="R44" s="46" t="inlineStr"/>
    </row>
    <row r="45" ht="18" customHeight="1">
      <c r="A45" s="45" t="inlineStr">
        <is>
          <t>EVT-2025-044</t>
        </is>
      </c>
      <c r="B45" s="51" t="inlineStr">
        <is>
          <t>Vaccinade KOL Meeting Zurich Mar 2025</t>
        </is>
      </c>
      <c r="C45" s="52" t="inlineStr">
        <is>
          <t>Infectious Diseases</t>
        </is>
      </c>
      <c r="D45" s="52" t="inlineStr">
        <is>
          <t>Vaccinade</t>
        </is>
      </c>
      <c r="E45" s="52" t="inlineStr">
        <is>
          <t>BU Infectious Diseases</t>
        </is>
      </c>
      <c r="F45" s="52" t="inlineStr">
        <is>
          <t>KOL Meeting</t>
        </is>
      </c>
      <c r="G45" s="153" t="n">
        <v>45739</v>
      </c>
      <c r="H45" s="153" t="n">
        <v>45740</v>
      </c>
      <c r="I45" s="54" t="n">
        <v>2</v>
      </c>
      <c r="J45" s="52" t="inlineStr">
        <is>
          <t>Zurich</t>
        </is>
      </c>
      <c r="K45" s="52" t="inlineStr">
        <is>
          <t>Switzerland</t>
        </is>
      </c>
      <c r="L45" s="50" t="inlineStr">
        <is>
          <t>Completed</t>
        </is>
      </c>
      <c r="M45" s="51" t="inlineStr">
        <is>
          <t>Ana García</t>
        </is>
      </c>
      <c r="N45" s="52" t="inlineStr">
        <is>
          <t>CC-3897</t>
        </is>
      </c>
      <c r="O45" s="52" t="inlineStr">
        <is>
          <t>GL-6312</t>
        </is>
      </c>
      <c r="P45" s="153" t="n">
        <v>45598</v>
      </c>
      <c r="Q45" s="153" t="n">
        <v>45604</v>
      </c>
      <c r="R45" s="51" t="inlineStr"/>
    </row>
    <row r="46" ht="18" customHeight="1">
      <c r="A46" s="45" t="inlineStr">
        <is>
          <t>EVT-2025-045</t>
        </is>
      </c>
      <c r="B46" s="46" t="inlineStr">
        <is>
          <t>Imunexal Symposium Brussels Jun 2025</t>
        </is>
      </c>
      <c r="C46" s="47" t="inlineStr">
        <is>
          <t>Immunology</t>
        </is>
      </c>
      <c r="D46" s="47" t="inlineStr">
        <is>
          <t>Imunexal</t>
        </is>
      </c>
      <c r="E46" s="47" t="inlineStr">
        <is>
          <t>BU Immunology</t>
        </is>
      </c>
      <c r="F46" s="47" t="inlineStr">
        <is>
          <t>Symposium</t>
        </is>
      </c>
      <c r="G46" s="152" t="n">
        <v>45814</v>
      </c>
      <c r="H46" s="152" t="n">
        <v>45816</v>
      </c>
      <c r="I46" s="49" t="n">
        <v>3</v>
      </c>
      <c r="J46" s="47" t="inlineStr">
        <is>
          <t>Brussels</t>
        </is>
      </c>
      <c r="K46" s="47" t="inlineStr">
        <is>
          <t>Belgium</t>
        </is>
      </c>
      <c r="L46" s="55" t="inlineStr">
        <is>
          <t>Confirmed</t>
        </is>
      </c>
      <c r="M46" s="46" t="inlineStr">
        <is>
          <t>Maria Kowalski</t>
        </is>
      </c>
      <c r="N46" s="47" t="inlineStr">
        <is>
          <t>CC-1077</t>
        </is>
      </c>
      <c r="O46" s="47" t="inlineStr">
        <is>
          <t>GL-6315</t>
        </is>
      </c>
      <c r="P46" s="152" t="n">
        <v>45719</v>
      </c>
      <c r="Q46" s="152" t="n">
        <v>45730</v>
      </c>
      <c r="R46" s="46" t="inlineStr"/>
    </row>
    <row r="47" ht="18" customHeight="1">
      <c r="A47" s="45" t="inlineStr">
        <is>
          <t>EVT-2025-046</t>
        </is>
      </c>
      <c r="B47" s="51" t="inlineStr">
        <is>
          <t>Vaccinade Advisory Board Zurich Jun 2025</t>
        </is>
      </c>
      <c r="C47" s="52" t="inlineStr">
        <is>
          <t>Infectious Diseases</t>
        </is>
      </c>
      <c r="D47" s="52" t="inlineStr">
        <is>
          <t>Vaccinade</t>
        </is>
      </c>
      <c r="E47" s="52" t="inlineStr">
        <is>
          <t>BU Infectious Diseases</t>
        </is>
      </c>
      <c r="F47" s="52" t="inlineStr">
        <is>
          <t>Advisory Board</t>
        </is>
      </c>
      <c r="G47" s="153" t="n">
        <v>45837</v>
      </c>
      <c r="H47" s="153" t="n">
        <v>45839</v>
      </c>
      <c r="I47" s="54" t="n">
        <v>3</v>
      </c>
      <c r="J47" s="52" t="inlineStr">
        <is>
          <t>Zurich</t>
        </is>
      </c>
      <c r="K47" s="52" t="inlineStr">
        <is>
          <t>Switzerland</t>
        </is>
      </c>
      <c r="L47" s="50" t="inlineStr">
        <is>
          <t>Completed</t>
        </is>
      </c>
      <c r="M47" s="51" t="inlineStr">
        <is>
          <t>Lena Schneider</t>
        </is>
      </c>
      <c r="N47" s="52" t="inlineStr">
        <is>
          <t>CC-3762</t>
        </is>
      </c>
      <c r="O47" s="52" t="inlineStr">
        <is>
          <t>GL-6320</t>
        </is>
      </c>
      <c r="P47" s="153" t="n">
        <v>45680</v>
      </c>
      <c r="Q47" s="153" t="n">
        <v>45690</v>
      </c>
      <c r="R47" s="51" t="inlineStr"/>
    </row>
    <row r="48" ht="18" customHeight="1">
      <c r="A48" s="45" t="inlineStr">
        <is>
          <t>EVT-2025-047</t>
        </is>
      </c>
      <c r="B48" s="46" t="inlineStr">
        <is>
          <t>Nexolimab Internal Meeting Milan Oct 2025</t>
        </is>
      </c>
      <c r="C48" s="47" t="inlineStr">
        <is>
          <t>Oncology</t>
        </is>
      </c>
      <c r="D48" s="47" t="inlineStr">
        <is>
          <t>Nexolimab</t>
        </is>
      </c>
      <c r="E48" s="47" t="inlineStr">
        <is>
          <t>BU Oncology</t>
        </is>
      </c>
      <c r="F48" s="47" t="inlineStr">
        <is>
          <t>Internal Meeting</t>
        </is>
      </c>
      <c r="G48" s="152" t="n">
        <v>45955</v>
      </c>
      <c r="H48" s="152" t="n">
        <v>45957</v>
      </c>
      <c r="I48" s="49" t="n">
        <v>3</v>
      </c>
      <c r="J48" s="47" t="inlineStr">
        <is>
          <t>Milan</t>
        </is>
      </c>
      <c r="K48" s="47" t="inlineStr">
        <is>
          <t>Italy</t>
        </is>
      </c>
      <c r="L48" s="58" t="inlineStr">
        <is>
          <t>Planning</t>
        </is>
      </c>
      <c r="M48" s="46" t="inlineStr">
        <is>
          <t>David O'Brien</t>
        </is>
      </c>
      <c r="N48" s="47" t="inlineStr">
        <is>
          <t>CC-9021</t>
        </is>
      </c>
      <c r="O48" s="47" t="inlineStr">
        <is>
          <t>GL-6310</t>
        </is>
      </c>
      <c r="P48" s="152" t="n">
        <v>45879</v>
      </c>
      <c r="Q48" s="152" t="n">
        <v>45903</v>
      </c>
      <c r="R48" s="46" t="inlineStr"/>
    </row>
    <row r="49" ht="18" customHeight="1">
      <c r="A49" s="45" t="inlineStr">
        <is>
          <t>EVT-2025-048</t>
        </is>
      </c>
      <c r="B49" s="51" t="inlineStr">
        <is>
          <t>Vaccinade Satellite Symposium Budapest Mar 2025</t>
        </is>
      </c>
      <c r="C49" s="52" t="inlineStr">
        <is>
          <t>Infectious Diseases</t>
        </is>
      </c>
      <c r="D49" s="52" t="inlineStr">
        <is>
          <t>Vaccinade</t>
        </is>
      </c>
      <c r="E49" s="52" t="inlineStr">
        <is>
          <t>BU Infectious Diseases</t>
        </is>
      </c>
      <c r="F49" s="52" t="inlineStr">
        <is>
          <t>Satellite Symposium</t>
        </is>
      </c>
      <c r="G49" s="153" t="n">
        <v>45717</v>
      </c>
      <c r="H49" s="153" t="n">
        <v>45719</v>
      </c>
      <c r="I49" s="54" t="n">
        <v>3</v>
      </c>
      <c r="J49" s="52" t="inlineStr">
        <is>
          <t>Budapest</t>
        </is>
      </c>
      <c r="K49" s="52" t="inlineStr">
        <is>
          <t>Hungary</t>
        </is>
      </c>
      <c r="L49" s="60" t="inlineStr">
        <is>
          <t>On Hold</t>
        </is>
      </c>
      <c r="M49" s="51" t="inlineStr">
        <is>
          <t>James Wilson</t>
        </is>
      </c>
      <c r="N49" s="52" t="inlineStr">
        <is>
          <t>CC-8105</t>
        </is>
      </c>
      <c r="O49" s="52" t="inlineStr">
        <is>
          <t>GL-6315</t>
        </is>
      </c>
      <c r="P49" s="153" t="n">
        <v>45606</v>
      </c>
      <c r="Q49" s="153" t="n">
        <v>45624</v>
      </c>
      <c r="R49" s="51" t="inlineStr"/>
    </row>
    <row r="50" ht="18" customHeight="1">
      <c r="A50" s="45" t="inlineStr">
        <is>
          <t>EVT-2025-049</t>
        </is>
      </c>
      <c r="B50" s="46" t="inlineStr">
        <is>
          <t>Hemaflex Webinar Istanbul Dec 2025</t>
        </is>
      </c>
      <c r="C50" s="47" t="inlineStr">
        <is>
          <t>Hematology</t>
        </is>
      </c>
      <c r="D50" s="47" t="inlineStr">
        <is>
          <t>Hemaflex</t>
        </is>
      </c>
      <c r="E50" s="47" t="inlineStr">
        <is>
          <t>BU Oncology</t>
        </is>
      </c>
      <c r="F50" s="47" t="inlineStr">
        <is>
          <t>Webinar</t>
        </is>
      </c>
      <c r="G50" s="152" t="n">
        <v>46009</v>
      </c>
      <c r="H50" s="152" t="n">
        <v>46010</v>
      </c>
      <c r="I50" s="49" t="n">
        <v>2</v>
      </c>
      <c r="J50" s="47" t="inlineStr">
        <is>
          <t>Istanbul</t>
        </is>
      </c>
      <c r="K50" s="47" t="inlineStr">
        <is>
          <t>Turkey</t>
        </is>
      </c>
      <c r="L50" s="57" t="inlineStr">
        <is>
          <t>In Progress</t>
        </is>
      </c>
      <c r="M50" s="46" t="inlineStr">
        <is>
          <t>Marco Bianchi</t>
        </is>
      </c>
      <c r="N50" s="47" t="inlineStr">
        <is>
          <t>CC-8821</t>
        </is>
      </c>
      <c r="O50" s="47" t="inlineStr">
        <is>
          <t>GL-6315</t>
        </is>
      </c>
      <c r="P50" s="152" t="n">
        <v>45949</v>
      </c>
      <c r="Q50" s="152" t="n">
        <v>45955</v>
      </c>
      <c r="R50" s="46" t="inlineStr"/>
    </row>
    <row r="51" ht="18" customHeight="1">
      <c r="A51" s="45" t="inlineStr">
        <is>
          <t>EVT-2025-050</t>
        </is>
      </c>
      <c r="B51" s="51" t="inlineStr">
        <is>
          <t>Infectoban Launch Event Paris Jun 2025</t>
        </is>
      </c>
      <c r="C51" s="52" t="inlineStr">
        <is>
          <t>Infectious Diseases</t>
        </is>
      </c>
      <c r="D51" s="52" t="inlineStr">
        <is>
          <t>Infectoban</t>
        </is>
      </c>
      <c r="E51" s="52" t="inlineStr">
        <is>
          <t>BU Infectious Diseases</t>
        </is>
      </c>
      <c r="F51" s="52" t="inlineStr">
        <is>
          <t>Launch Event</t>
        </is>
      </c>
      <c r="G51" s="153" t="n">
        <v>45811</v>
      </c>
      <c r="H51" s="153" t="n">
        <v>45813</v>
      </c>
      <c r="I51" s="54" t="n">
        <v>3</v>
      </c>
      <c r="J51" s="52" t="inlineStr">
        <is>
          <t>Paris</t>
        </is>
      </c>
      <c r="K51" s="52" t="inlineStr">
        <is>
          <t>France</t>
        </is>
      </c>
      <c r="L51" s="50" t="inlineStr">
        <is>
          <t>Completed</t>
        </is>
      </c>
      <c r="M51" s="51" t="inlineStr">
        <is>
          <t>Lucas Dupont</t>
        </is>
      </c>
      <c r="N51" s="52" t="inlineStr">
        <is>
          <t>CC-9745</t>
        </is>
      </c>
      <c r="O51" s="52" t="inlineStr">
        <is>
          <t>GL-6311</t>
        </is>
      </c>
      <c r="P51" s="153" t="n">
        <v>45658</v>
      </c>
      <c r="Q51" s="153" t="n">
        <v>45674</v>
      </c>
      <c r="R51" s="51" t="inlineStr"/>
    </row>
  </sheetData>
  <autoFilter ref="A1:R51"/>
  <conditionalFormatting sqref="A2:R51">
    <cfRule type="expression" priority="1" dxfId="0">
      <formula>$L2="Completed"</formula>
    </cfRule>
    <cfRule type="expression" priority="2" dxfId="1">
      <formula>$L2="Cancelled"</formula>
    </cfRule>
    <cfRule type="expression" priority="3" dxfId="2">
      <formula>$L2="On Hold"</formula>
    </cfRule>
    <cfRule type="expression" priority="4" dxfId="3">
      <formula>$L2="In Progress"</formula>
    </cfRule>
  </conditionalFormatting>
  <dataValidations count="3">
    <dataValidation sqref="C2:C51" showDropDown="0" showInputMessage="0" showErrorMessage="0" allowBlank="0" type="list">
      <formula1>"Oncology,Cardiology,Neurology,Immunology,Rare Diseases,Infectious Diseases,Hematology,Gastroenterology"</formula1>
    </dataValidation>
    <dataValidation sqref="F2:F51" showDropDown="0" showInputMessage="0" showErrorMessage="0" allowBlank="0" type="list">
      <formula1>"Congress,Advisory Board,Speaker Program,KOL Meeting,Internal Meeting,Launch Event,Investigator Meeting,Symposium,Webinar,Satellite Symposium"</formula1>
    </dataValidation>
    <dataValidation sqref="L2:L51" showDropDown="0" showInputMessage="0" showErrorMessage="0" allowBlank="0" type="list">
      <formula1>"Planning,Confirmed,In Progress,Completed,Cancelled,On Hold,Closed"</formula1>
    </dataValidation>
  </dataValidations>
  <printOptions gridLines="0"/>
  <pageMargins left="0.4" right="0.4" top="0.6" bottom="0.6" header="0.3" footer="0.3"/>
  <pageSetup orientation="landscape" fitToHeight="0" fitToWidth="1"/>
  <headerFooter>
    <oddHeader/>
    <oddFooter>&amp;LConfidential – Internal Use Only&amp;C&amp;A&amp;RPage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V53"/>
  <sheetViews>
    <sheetView showGridLines="0" tabSelected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12" customWidth="1" min="4" max="4"/>
    <col width="20" customWidth="1" min="5" max="5"/>
    <col width="22" customWidth="1" min="6" max="6"/>
    <col width="18" customWidth="1" min="7" max="7"/>
    <col width="13" customWidth="1" min="8" max="8"/>
    <col width="16" customWidth="1" min="9" max="9"/>
    <col width="16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  <col width="16" customWidth="1" min="16" max="16"/>
    <col width="16" customWidth="1" min="17" max="17"/>
    <col width="12" customWidth="1" min="18" max="18"/>
    <col width="16" customWidth="1" min="19" max="19"/>
    <col width="16" customWidth="1" min="20" max="20"/>
    <col width="14" customWidth="1" min="21" max="21"/>
    <col width="20" customWidth="1" min="22" max="22"/>
  </cols>
  <sheetData>
    <row r="1" ht="30" customHeight="1">
      <c r="A1" s="61" t="inlineStr">
        <is>
          <t>Event ID</t>
        </is>
      </c>
      <c r="B1" s="61" t="inlineStr">
        <is>
          <t>Event Name</t>
        </is>
      </c>
      <c r="C1" s="61" t="inlineStr">
        <is>
          <t>Cost Center</t>
        </is>
      </c>
      <c r="D1" s="61" t="inlineStr">
        <is>
          <t>GL Account</t>
        </is>
      </c>
      <c r="E1" s="61" t="inlineStr">
        <is>
          <t>Therapeutic Area</t>
        </is>
      </c>
      <c r="F1" s="61" t="inlineStr">
        <is>
          <t>Business Unit</t>
        </is>
      </c>
      <c r="G1" s="61" t="inlineStr">
        <is>
          <t>Event Type</t>
        </is>
      </c>
      <c r="H1" s="61" t="inlineStr">
        <is>
          <t>Start Date</t>
        </is>
      </c>
      <c r="I1" s="61" t="inlineStr">
        <is>
          <t>Initial Budget (€)</t>
        </is>
      </c>
      <c r="J1" s="61" t="inlineStr">
        <is>
          <t>Approved Budget (€)</t>
        </is>
      </c>
      <c r="K1" s="61" t="inlineStr">
        <is>
          <t>Forecast V1 (€)</t>
        </is>
      </c>
      <c r="L1" s="61" t="inlineStr">
        <is>
          <t>Forecast V2 (€)</t>
        </is>
      </c>
      <c r="M1" s="61" t="inlineStr">
        <is>
          <t>Current Forecast (€)</t>
        </is>
      </c>
      <c r="N1" s="61" t="inlineStr">
        <is>
          <t>Committed (€)</t>
        </is>
      </c>
      <c r="O1" s="61" t="inlineStr">
        <is>
          <t>Actual Spend (€)</t>
        </is>
      </c>
      <c r="P1" s="61" t="inlineStr">
        <is>
          <t>Remaining Budget (€)</t>
        </is>
      </c>
      <c r="Q1" s="61" t="inlineStr">
        <is>
          <t>Budget Variance (€)</t>
        </is>
      </c>
      <c r="R1" s="61" t="inlineStr">
        <is>
          <t>Variance %</t>
        </is>
      </c>
      <c r="S1" s="61" t="inlineStr">
        <is>
          <t>Forecast Version</t>
        </is>
      </c>
      <c r="T1" s="61" t="inlineStr">
        <is>
          <t>Budget Status</t>
        </is>
      </c>
      <c r="U1" s="61" t="inlineStr">
        <is>
          <t>Approval Date</t>
        </is>
      </c>
      <c r="V1" s="61" t="inlineStr">
        <is>
          <t>Approved By</t>
        </is>
      </c>
    </row>
    <row r="2" ht="18" customHeight="1">
      <c r="A2" s="62" t="inlineStr">
        <is>
          <t>EVT-2025-001</t>
        </is>
      </c>
      <c r="B2" s="63" t="inlineStr">
        <is>
          <t>Cordavex Internal Meeting Vienna Apr 2025</t>
        </is>
      </c>
      <c r="C2" s="64" t="inlineStr">
        <is>
          <t>CC-3851</t>
        </is>
      </c>
      <c r="D2" s="64" t="inlineStr">
        <is>
          <t>GL-6320</t>
        </is>
      </c>
      <c r="E2" s="64" t="inlineStr">
        <is>
          <t>Cardiology</t>
        </is>
      </c>
      <c r="F2" s="64" t="inlineStr">
        <is>
          <t>BU Cardiovascular</t>
        </is>
      </c>
      <c r="G2" s="64" t="inlineStr">
        <is>
          <t>Internal Meeting</t>
        </is>
      </c>
      <c r="H2" s="154" t="n">
        <v>45772</v>
      </c>
      <c r="I2" s="66" t="n">
        <v>374223.86</v>
      </c>
      <c r="J2" s="66" t="n">
        <v>358929.72</v>
      </c>
      <c r="K2" s="66" t="n">
        <v>345551.97</v>
      </c>
      <c r="L2" s="66" t="n">
        <v>351166.88</v>
      </c>
      <c r="M2" s="66">
        <f>L2</f>
        <v/>
      </c>
      <c r="N2" s="66" t="n">
        <v>324184.5</v>
      </c>
      <c r="O2" s="66" t="n">
        <v>292801.94</v>
      </c>
      <c r="P2" s="66">
        <f>M2-N2</f>
        <v/>
      </c>
      <c r="Q2" s="155">
        <f>J2-M2</f>
        <v/>
      </c>
      <c r="R2" s="156">
        <f>IF(J2=0,0,Q2/J2)</f>
        <v/>
      </c>
      <c r="S2" s="64" t="inlineStr">
        <is>
          <t>FV3</t>
        </is>
      </c>
      <c r="T2" s="69" t="inlineStr">
        <is>
          <t>On Track</t>
        </is>
      </c>
      <c r="U2" s="154" t="n">
        <v>45723</v>
      </c>
      <c r="V2" s="63" t="inlineStr">
        <is>
          <t>Thomas Dubois</t>
        </is>
      </c>
    </row>
    <row r="3" ht="18" customHeight="1">
      <c r="A3" s="62" t="inlineStr">
        <is>
          <t>EVT-2025-002</t>
        </is>
      </c>
      <c r="B3" s="70" t="inlineStr">
        <is>
          <t>Eplitazan Investigator Meeting Barcelona Jan 2025</t>
        </is>
      </c>
      <c r="C3" s="71" t="inlineStr">
        <is>
          <t>CC-4443</t>
        </is>
      </c>
      <c r="D3" s="71" t="inlineStr">
        <is>
          <t>GL-6315</t>
        </is>
      </c>
      <c r="E3" s="71" t="inlineStr">
        <is>
          <t>Cardiology</t>
        </is>
      </c>
      <c r="F3" s="71" t="inlineStr">
        <is>
          <t>BU Cardiovascular</t>
        </is>
      </c>
      <c r="G3" s="71" t="inlineStr">
        <is>
          <t>Investigator Meeting</t>
        </is>
      </c>
      <c r="H3" s="157" t="n">
        <v>45673</v>
      </c>
      <c r="I3" s="73" t="n">
        <v>306979.08</v>
      </c>
      <c r="J3" s="73" t="n">
        <v>311221.85</v>
      </c>
      <c r="K3" s="73" t="n">
        <v>308298.7</v>
      </c>
      <c r="L3" s="73" t="n">
        <v>327323.74</v>
      </c>
      <c r="M3" s="73">
        <f>L3</f>
        <v/>
      </c>
      <c r="N3" s="73" t="n">
        <v>208421.34</v>
      </c>
      <c r="O3" s="73" t="n">
        <v>0</v>
      </c>
      <c r="P3" s="73">
        <f>M3-N3</f>
        <v/>
      </c>
      <c r="Q3" s="158">
        <f>J3-M3</f>
        <v/>
      </c>
      <c r="R3" s="159">
        <f>IF(J3=0,0,Q3/J3)</f>
        <v/>
      </c>
      <c r="S3" s="71" t="inlineStr">
        <is>
          <t>FV1</t>
        </is>
      </c>
      <c r="T3" s="76" t="inlineStr">
        <is>
          <t>At Risk</t>
        </is>
      </c>
      <c r="U3" s="157" t="n">
        <v>45555</v>
      </c>
      <c r="V3" s="70" t="inlineStr">
        <is>
          <t>Maria Kowalski</t>
        </is>
      </c>
    </row>
    <row r="4" ht="18" customHeight="1">
      <c r="A4" s="62" t="inlineStr">
        <is>
          <t>EVT-2025-003</t>
        </is>
      </c>
      <c r="B4" s="63" t="inlineStr">
        <is>
          <t>Influximab Webinar Athens Apr 2025</t>
        </is>
      </c>
      <c r="C4" s="64" t="inlineStr">
        <is>
          <t>CC-9375</t>
        </is>
      </c>
      <c r="D4" s="64" t="inlineStr">
        <is>
          <t>GL-6315</t>
        </is>
      </c>
      <c r="E4" s="64" t="inlineStr">
        <is>
          <t>Immunology</t>
        </is>
      </c>
      <c r="F4" s="64" t="inlineStr">
        <is>
          <t>BU Immunology</t>
        </is>
      </c>
      <c r="G4" s="64" t="inlineStr">
        <is>
          <t>Webinar</t>
        </is>
      </c>
      <c r="H4" s="154" t="n">
        <v>45770</v>
      </c>
      <c r="I4" s="66" t="n">
        <v>383021.57</v>
      </c>
      <c r="J4" s="66" t="n">
        <v>404911.93</v>
      </c>
      <c r="K4" s="66" t="n">
        <v>409230.78</v>
      </c>
      <c r="L4" s="66" t="n">
        <v>411460.03</v>
      </c>
      <c r="M4" s="66">
        <f>L4</f>
        <v/>
      </c>
      <c r="N4" s="66" t="n">
        <v>287529.79</v>
      </c>
      <c r="O4" s="66" t="n">
        <v>259549.74</v>
      </c>
      <c r="P4" s="66">
        <f>M4-N4</f>
        <v/>
      </c>
      <c r="Q4" s="160">
        <f>J4-M4</f>
        <v/>
      </c>
      <c r="R4" s="156">
        <f>IF(J4=0,0,Q4/J4)</f>
        <v/>
      </c>
      <c r="S4" s="64" t="inlineStr">
        <is>
          <t>FV3</t>
        </is>
      </c>
      <c r="T4" s="69" t="inlineStr">
        <is>
          <t>On Track</t>
        </is>
      </c>
      <c r="U4" s="154" t="n">
        <v>45660</v>
      </c>
      <c r="V4" s="63" t="inlineStr">
        <is>
          <t>David O'Brien</t>
        </is>
      </c>
    </row>
    <row r="5" ht="18" customHeight="1">
      <c r="A5" s="62" t="inlineStr">
        <is>
          <t>EVT-2025-004</t>
        </is>
      </c>
      <c r="B5" s="70" t="inlineStr">
        <is>
          <t>Cognivex Investigator Meeting Stockholm May 2025</t>
        </is>
      </c>
      <c r="C5" s="71" t="inlineStr">
        <is>
          <t>CC-5649</t>
        </is>
      </c>
      <c r="D5" s="71" t="inlineStr">
        <is>
          <t>GL-6320</t>
        </is>
      </c>
      <c r="E5" s="71" t="inlineStr">
        <is>
          <t>Neurology</t>
        </is>
      </c>
      <c r="F5" s="71" t="inlineStr">
        <is>
          <t>BU Neuroscience</t>
        </is>
      </c>
      <c r="G5" s="71" t="inlineStr">
        <is>
          <t>Investigator Meeting</t>
        </is>
      </c>
      <c r="H5" s="157" t="n">
        <v>45800</v>
      </c>
      <c r="I5" s="73" t="n">
        <v>64571.98</v>
      </c>
      <c r="J5" s="73" t="n">
        <v>68365.39999999999</v>
      </c>
      <c r="K5" s="73" t="n">
        <v>71509.06</v>
      </c>
      <c r="L5" s="73" t="n">
        <v>75152.86</v>
      </c>
      <c r="M5" s="73">
        <f>L5</f>
        <v/>
      </c>
      <c r="N5" s="73" t="n">
        <v>59857.96</v>
      </c>
      <c r="O5" s="73" t="n">
        <v>0</v>
      </c>
      <c r="P5" s="73">
        <f>M5-N5</f>
        <v/>
      </c>
      <c r="Q5" s="158">
        <f>J5-M5</f>
        <v/>
      </c>
      <c r="R5" s="159">
        <f>IF(J5=0,0,Q5/J5)</f>
        <v/>
      </c>
      <c r="S5" s="71" t="inlineStr">
        <is>
          <t>FV1</t>
        </is>
      </c>
      <c r="T5" s="76" t="inlineStr">
        <is>
          <t>At Risk</t>
        </is>
      </c>
      <c r="U5" s="157" t="n">
        <v>45732</v>
      </c>
      <c r="V5" s="70" t="inlineStr">
        <is>
          <t>Emma Johansson</t>
        </is>
      </c>
    </row>
    <row r="6" ht="18" customHeight="1">
      <c r="A6" s="62" t="inlineStr">
        <is>
          <t>EVT-2025-005</t>
        </is>
      </c>
      <c r="B6" s="63" t="inlineStr">
        <is>
          <t>Hemaflex Launch Event Brussels Nov 2025</t>
        </is>
      </c>
      <c r="C6" s="64" t="inlineStr">
        <is>
          <t>CC-4848</t>
        </is>
      </c>
      <c r="D6" s="64" t="inlineStr">
        <is>
          <t>GL-6325</t>
        </is>
      </c>
      <c r="E6" s="64" t="inlineStr">
        <is>
          <t>Hematology</t>
        </is>
      </c>
      <c r="F6" s="64" t="inlineStr">
        <is>
          <t>BU Oncology</t>
        </is>
      </c>
      <c r="G6" s="64" t="inlineStr">
        <is>
          <t>Launch Event</t>
        </is>
      </c>
      <c r="H6" s="154" t="n">
        <v>45967</v>
      </c>
      <c r="I6" s="66" t="n">
        <v>237821.07</v>
      </c>
      <c r="J6" s="66" t="n">
        <v>245614.65</v>
      </c>
      <c r="K6" s="66" t="n">
        <v>248543.87</v>
      </c>
      <c r="L6" s="66" t="n">
        <v>243640.74</v>
      </c>
      <c r="M6" s="66">
        <f>L6</f>
        <v/>
      </c>
      <c r="N6" s="66" t="n">
        <v>226196.03</v>
      </c>
      <c r="O6" s="66" t="n">
        <v>0</v>
      </c>
      <c r="P6" s="66">
        <f>M6-N6</f>
        <v/>
      </c>
      <c r="Q6" s="155">
        <f>J6-M6</f>
        <v/>
      </c>
      <c r="R6" s="156">
        <f>IF(J6=0,0,Q6/J6)</f>
        <v/>
      </c>
      <c r="S6" s="64" t="inlineStr">
        <is>
          <t>FV2</t>
        </is>
      </c>
      <c r="T6" s="69" t="inlineStr">
        <is>
          <t>On Track</t>
        </is>
      </c>
      <c r="U6" s="154" t="n">
        <v>45853</v>
      </c>
      <c r="V6" s="63" t="inlineStr">
        <is>
          <t>Ana García</t>
        </is>
      </c>
    </row>
    <row r="7" ht="18" customHeight="1">
      <c r="A7" s="62" t="inlineStr">
        <is>
          <t>EVT-2025-006</t>
        </is>
      </c>
      <c r="B7" s="70" t="inlineStr">
        <is>
          <t>Miotrex Advisory Board Istanbul May 2025</t>
        </is>
      </c>
      <c r="C7" s="71" t="inlineStr">
        <is>
          <t>CC-2193</t>
        </is>
      </c>
      <c r="D7" s="71" t="inlineStr">
        <is>
          <t>GL-6315</t>
        </is>
      </c>
      <c r="E7" s="71" t="inlineStr">
        <is>
          <t>Cardiology</t>
        </is>
      </c>
      <c r="F7" s="71" t="inlineStr">
        <is>
          <t>BU Cardiovascular</t>
        </is>
      </c>
      <c r="G7" s="71" t="inlineStr">
        <is>
          <t>Advisory Board</t>
        </is>
      </c>
      <c r="H7" s="157" t="n">
        <v>45808</v>
      </c>
      <c r="I7" s="73" t="n">
        <v>48734.25</v>
      </c>
      <c r="J7" s="73" t="n">
        <v>46886.44</v>
      </c>
      <c r="K7" s="73" t="n">
        <v>48323.8</v>
      </c>
      <c r="L7" s="73" t="n">
        <v>47657.36</v>
      </c>
      <c r="M7" s="73">
        <f>L7</f>
        <v/>
      </c>
      <c r="N7" s="73" t="n">
        <v>24819.77</v>
      </c>
      <c r="O7" s="73" t="n">
        <v>24700.16</v>
      </c>
      <c r="P7" s="73">
        <f>M7-N7</f>
        <v/>
      </c>
      <c r="Q7" s="158">
        <f>J7-M7</f>
        <v/>
      </c>
      <c r="R7" s="161">
        <f>IF(J7=0,0,Q7/J7)</f>
        <v/>
      </c>
      <c r="S7" s="71" t="inlineStr">
        <is>
          <t>FV1</t>
        </is>
      </c>
      <c r="T7" s="69" t="inlineStr">
        <is>
          <t>On Track</t>
        </is>
      </c>
      <c r="U7" s="157" t="n">
        <v>45694</v>
      </c>
      <c r="V7" s="70" t="inlineStr">
        <is>
          <t>Ana García</t>
        </is>
      </c>
    </row>
    <row r="8" ht="18" customHeight="1">
      <c r="A8" s="62" t="inlineStr">
        <is>
          <t>EVT-2025-007</t>
        </is>
      </c>
      <c r="B8" s="63" t="inlineStr">
        <is>
          <t>Bioflair Advisory Board Vienna Feb 2025</t>
        </is>
      </c>
      <c r="C8" s="64" t="inlineStr">
        <is>
          <t>CC-4997</t>
        </is>
      </c>
      <c r="D8" s="64" t="inlineStr">
        <is>
          <t>GL-6311</t>
        </is>
      </c>
      <c r="E8" s="64" t="inlineStr">
        <is>
          <t>Immunology</t>
        </is>
      </c>
      <c r="F8" s="64" t="inlineStr">
        <is>
          <t>BU Immunology</t>
        </is>
      </c>
      <c r="G8" s="64" t="inlineStr">
        <is>
          <t>Advisory Board</t>
        </is>
      </c>
      <c r="H8" s="154" t="n">
        <v>45709</v>
      </c>
      <c r="I8" s="66" t="n">
        <v>419543.56</v>
      </c>
      <c r="J8" s="66" t="n">
        <v>412364.42</v>
      </c>
      <c r="K8" s="66" t="n">
        <v>417715.48</v>
      </c>
      <c r="L8" s="66" t="n">
        <v>414118.06</v>
      </c>
      <c r="M8" s="66">
        <f>L8</f>
        <v/>
      </c>
      <c r="N8" s="66" t="n">
        <v>336826.82</v>
      </c>
      <c r="O8" s="66" t="n">
        <v>285734.62</v>
      </c>
      <c r="P8" s="66">
        <f>M8-N8</f>
        <v/>
      </c>
      <c r="Q8" s="160">
        <f>J8-M8</f>
        <v/>
      </c>
      <c r="R8" s="156">
        <f>IF(J8=0,0,Q8/J8)</f>
        <v/>
      </c>
      <c r="S8" s="64" t="inlineStr">
        <is>
          <t>FV3</t>
        </is>
      </c>
      <c r="T8" s="69" t="inlineStr">
        <is>
          <t>On Track</t>
        </is>
      </c>
      <c r="U8" s="154" t="n">
        <v>45645</v>
      </c>
      <c r="V8" s="63" t="inlineStr">
        <is>
          <t>Lena Schneider</t>
        </is>
      </c>
    </row>
    <row r="9" ht="18" customHeight="1">
      <c r="A9" s="62" t="inlineStr">
        <is>
          <t>EVT-2025-008</t>
        </is>
      </c>
      <c r="B9" s="70" t="inlineStr">
        <is>
          <t>Axotrin Launch Event Amsterdam Dec 2025</t>
        </is>
      </c>
      <c r="C9" s="71" t="inlineStr">
        <is>
          <t>CC-7965</t>
        </is>
      </c>
      <c r="D9" s="71" t="inlineStr">
        <is>
          <t>GL-6311</t>
        </is>
      </c>
      <c r="E9" s="71" t="inlineStr">
        <is>
          <t>Neurology</t>
        </is>
      </c>
      <c r="F9" s="71" t="inlineStr">
        <is>
          <t>BU Neuroscience</t>
        </is>
      </c>
      <c r="G9" s="71" t="inlineStr">
        <is>
          <t>Launch Event</t>
        </is>
      </c>
      <c r="H9" s="157" t="n">
        <v>46001</v>
      </c>
      <c r="I9" s="73" t="n">
        <v>329297.16</v>
      </c>
      <c r="J9" s="73" t="n">
        <v>339575.05</v>
      </c>
      <c r="K9" s="73" t="n">
        <v>322784.59</v>
      </c>
      <c r="L9" s="73" t="n">
        <v>339765.03</v>
      </c>
      <c r="M9" s="73">
        <f>L9</f>
        <v/>
      </c>
      <c r="N9" s="73" t="n">
        <v>287618.16</v>
      </c>
      <c r="O9" s="73" t="n">
        <v>210529.64</v>
      </c>
      <c r="P9" s="73">
        <f>M9-N9</f>
        <v/>
      </c>
      <c r="Q9" s="158">
        <f>J9-M9</f>
        <v/>
      </c>
      <c r="R9" s="161">
        <f>IF(J9=0,0,Q9/J9)</f>
        <v/>
      </c>
      <c r="S9" s="71" t="inlineStr">
        <is>
          <t>FV3</t>
        </is>
      </c>
      <c r="T9" s="69" t="inlineStr">
        <is>
          <t>On Track</t>
        </is>
      </c>
      <c r="U9" s="157" t="n">
        <v>45894</v>
      </c>
      <c r="V9" s="70" t="inlineStr">
        <is>
          <t>Sophie Müller</t>
        </is>
      </c>
    </row>
    <row r="10" ht="18" customHeight="1">
      <c r="A10" s="62" t="inlineStr">
        <is>
          <t>EVT-2025-009</t>
        </is>
      </c>
      <c r="B10" s="63" t="inlineStr">
        <is>
          <t>Cognivex KOL Meeting Milan Aug 2025</t>
        </is>
      </c>
      <c r="C10" s="64" t="inlineStr">
        <is>
          <t>CC-5082</t>
        </is>
      </c>
      <c r="D10" s="64" t="inlineStr">
        <is>
          <t>GL-6330</t>
        </is>
      </c>
      <c r="E10" s="64" t="inlineStr">
        <is>
          <t>Neurology</t>
        </is>
      </c>
      <c r="F10" s="64" t="inlineStr">
        <is>
          <t>BU Neuroscience</t>
        </is>
      </c>
      <c r="G10" s="64" t="inlineStr">
        <is>
          <t>KOL Meeting</t>
        </is>
      </c>
      <c r="H10" s="154" t="n">
        <v>45894</v>
      </c>
      <c r="I10" s="66" t="n">
        <v>348758.55</v>
      </c>
      <c r="J10" s="66" t="n">
        <v>326151.09</v>
      </c>
      <c r="K10" s="66" t="n">
        <v>341087.7</v>
      </c>
      <c r="L10" s="66" t="n">
        <v>350288.66</v>
      </c>
      <c r="M10" s="66">
        <f>L10</f>
        <v/>
      </c>
      <c r="N10" s="66" t="n">
        <v>183060.25</v>
      </c>
      <c r="O10" s="66" t="n">
        <v>0</v>
      </c>
      <c r="P10" s="66">
        <f>M10-N10</f>
        <v/>
      </c>
      <c r="Q10" s="160">
        <f>J10-M10</f>
        <v/>
      </c>
      <c r="R10" s="162">
        <f>IF(J10=0,0,Q10/J10)</f>
        <v/>
      </c>
      <c r="S10" s="64" t="inlineStr">
        <is>
          <t>FV3</t>
        </is>
      </c>
      <c r="T10" s="76" t="inlineStr">
        <is>
          <t>At Risk</t>
        </is>
      </c>
      <c r="U10" s="154" t="n">
        <v>45847</v>
      </c>
      <c r="V10" s="63" t="inlineStr">
        <is>
          <t>Maria Kowalski</t>
        </is>
      </c>
    </row>
    <row r="11" ht="18" customHeight="1">
      <c r="A11" s="62" t="inlineStr">
        <is>
          <t>EVT-2025-010</t>
        </is>
      </c>
      <c r="B11" s="70" t="inlineStr">
        <is>
          <t>Influximab Launch Event Barcelona Apr 2025</t>
        </is>
      </c>
      <c r="C11" s="71" t="inlineStr">
        <is>
          <t>CC-6198</t>
        </is>
      </c>
      <c r="D11" s="71" t="inlineStr">
        <is>
          <t>GL-6330</t>
        </is>
      </c>
      <c r="E11" s="71" t="inlineStr">
        <is>
          <t>Immunology</t>
        </is>
      </c>
      <c r="F11" s="71" t="inlineStr">
        <is>
          <t>BU Immunology</t>
        </is>
      </c>
      <c r="G11" s="71" t="inlineStr">
        <is>
          <t>Launch Event</t>
        </is>
      </c>
      <c r="H11" s="157" t="n">
        <v>45775</v>
      </c>
      <c r="I11" s="73" t="n">
        <v>144854.32</v>
      </c>
      <c r="J11" s="73" t="n">
        <v>133884.75</v>
      </c>
      <c r="K11" s="73" t="n">
        <v>128975.72</v>
      </c>
      <c r="L11" s="73" t="n">
        <v>131698.49</v>
      </c>
      <c r="M11" s="73">
        <f>L11</f>
        <v/>
      </c>
      <c r="N11" s="73" t="n">
        <v>97326.42</v>
      </c>
      <c r="O11" s="73" t="n">
        <v>0</v>
      </c>
      <c r="P11" s="73">
        <f>M11-N11</f>
        <v/>
      </c>
      <c r="Q11" s="163">
        <f>J11-M11</f>
        <v/>
      </c>
      <c r="R11" s="161">
        <f>IF(J11=0,0,Q11/J11)</f>
        <v/>
      </c>
      <c r="S11" s="71" t="inlineStr">
        <is>
          <t>FV2</t>
        </is>
      </c>
      <c r="T11" s="69" t="inlineStr">
        <is>
          <t>On Track</t>
        </is>
      </c>
      <c r="U11" s="157" t="n">
        <v>45732</v>
      </c>
      <c r="V11" s="70" t="inlineStr">
        <is>
          <t>James Wilson</t>
        </is>
      </c>
    </row>
    <row r="12" ht="18" customHeight="1">
      <c r="A12" s="62" t="inlineStr">
        <is>
          <t>EVT-2025-011</t>
        </is>
      </c>
      <c r="B12" s="63" t="inlineStr">
        <is>
          <t>Influximab Launch Event Amsterdam Dec 2025</t>
        </is>
      </c>
      <c r="C12" s="64" t="inlineStr">
        <is>
          <t>CC-9976</t>
        </is>
      </c>
      <c r="D12" s="64" t="inlineStr">
        <is>
          <t>GL-6315</t>
        </is>
      </c>
      <c r="E12" s="64" t="inlineStr">
        <is>
          <t>Immunology</t>
        </is>
      </c>
      <c r="F12" s="64" t="inlineStr">
        <is>
          <t>BU Immunology</t>
        </is>
      </c>
      <c r="G12" s="64" t="inlineStr">
        <is>
          <t>Launch Event</t>
        </is>
      </c>
      <c r="H12" s="154" t="n">
        <v>45993</v>
      </c>
      <c r="I12" s="66" t="n">
        <v>237543.15</v>
      </c>
      <c r="J12" s="66" t="n">
        <v>256139.26</v>
      </c>
      <c r="K12" s="66" t="n">
        <v>259024.73</v>
      </c>
      <c r="L12" s="66" t="n">
        <v>271748.06</v>
      </c>
      <c r="M12" s="66">
        <f>L12</f>
        <v/>
      </c>
      <c r="N12" s="66" t="n">
        <v>197601.65</v>
      </c>
      <c r="O12" s="66" t="n">
        <v>187557.71</v>
      </c>
      <c r="P12" s="66">
        <f>M12-N12</f>
        <v/>
      </c>
      <c r="Q12" s="160">
        <f>J12-M12</f>
        <v/>
      </c>
      <c r="R12" s="162">
        <f>IF(J12=0,0,Q12/J12)</f>
        <v/>
      </c>
      <c r="S12" s="64" t="inlineStr">
        <is>
          <t>FV3</t>
        </is>
      </c>
      <c r="T12" s="76" t="inlineStr">
        <is>
          <t>At Risk</t>
        </is>
      </c>
      <c r="U12" s="154" t="n">
        <v>45884</v>
      </c>
      <c r="V12" s="63" t="inlineStr">
        <is>
          <t>Marco Bianchi</t>
        </is>
      </c>
    </row>
    <row r="13" ht="18" customHeight="1">
      <c r="A13" s="62" t="inlineStr">
        <is>
          <t>EVT-2025-012</t>
        </is>
      </c>
      <c r="B13" s="70" t="inlineStr">
        <is>
          <t>Rarzolene KOL Meeting Istanbul Oct 2025</t>
        </is>
      </c>
      <c r="C13" s="71" t="inlineStr">
        <is>
          <t>CC-5543</t>
        </is>
      </c>
      <c r="D13" s="71" t="inlineStr">
        <is>
          <t>GL-6330</t>
        </is>
      </c>
      <c r="E13" s="71" t="inlineStr">
        <is>
          <t>Rare Diseases</t>
        </is>
      </c>
      <c r="F13" s="71" t="inlineStr">
        <is>
          <t>BU Rare Diseases</t>
        </is>
      </c>
      <c r="G13" s="71" t="inlineStr">
        <is>
          <t>KOL Meeting</t>
        </is>
      </c>
      <c r="H13" s="157" t="n">
        <v>45933</v>
      </c>
      <c r="I13" s="73" t="n">
        <v>450444.1</v>
      </c>
      <c r="J13" s="73" t="n">
        <v>486228.11</v>
      </c>
      <c r="K13" s="73" t="n">
        <v>498075.32</v>
      </c>
      <c r="L13" s="73" t="n">
        <v>509139.66</v>
      </c>
      <c r="M13" s="73">
        <f>L13</f>
        <v/>
      </c>
      <c r="N13" s="73" t="n">
        <v>313953.94</v>
      </c>
      <c r="O13" s="73" t="n">
        <v>243054.32</v>
      </c>
      <c r="P13" s="73">
        <f>M13-N13</f>
        <v/>
      </c>
      <c r="Q13" s="158">
        <f>J13-M13</f>
        <v/>
      </c>
      <c r="R13" s="161">
        <f>IF(J13=0,0,Q13/J13)</f>
        <v/>
      </c>
      <c r="S13" s="71" t="inlineStr">
        <is>
          <t>FV1</t>
        </is>
      </c>
      <c r="T13" s="69" t="inlineStr">
        <is>
          <t>On Track</t>
        </is>
      </c>
      <c r="U13" s="157" t="n">
        <v>45867</v>
      </c>
      <c r="V13" s="70" t="inlineStr">
        <is>
          <t>Emma Johansson</t>
        </is>
      </c>
    </row>
    <row r="14" ht="18" customHeight="1">
      <c r="A14" s="62" t="inlineStr">
        <is>
          <t>EVT-2025-013</t>
        </is>
      </c>
      <c r="B14" s="63" t="inlineStr">
        <is>
          <t>Thrombovex KOL Meeting Berlin Sep 2025</t>
        </is>
      </c>
      <c r="C14" s="64" t="inlineStr">
        <is>
          <t>CC-5681</t>
        </is>
      </c>
      <c r="D14" s="64" t="inlineStr">
        <is>
          <t>GL-6311</t>
        </is>
      </c>
      <c r="E14" s="64" t="inlineStr">
        <is>
          <t>Hematology</t>
        </is>
      </c>
      <c r="F14" s="64" t="inlineStr">
        <is>
          <t>BU Oncology</t>
        </is>
      </c>
      <c r="G14" s="64" t="inlineStr">
        <is>
          <t>KOL Meeting</t>
        </is>
      </c>
      <c r="H14" s="154" t="n">
        <v>45918</v>
      </c>
      <c r="I14" s="66" t="n">
        <v>432634.91</v>
      </c>
      <c r="J14" s="66" t="n">
        <v>456661.28</v>
      </c>
      <c r="K14" s="66" t="n">
        <v>455957.89</v>
      </c>
      <c r="L14" s="66" t="n">
        <v>454278.62</v>
      </c>
      <c r="M14" s="66">
        <f>L14</f>
        <v/>
      </c>
      <c r="N14" s="66" t="n">
        <v>317060.43</v>
      </c>
      <c r="O14" s="66" t="n">
        <v>0</v>
      </c>
      <c r="P14" s="66">
        <f>M14-N14</f>
        <v/>
      </c>
      <c r="Q14" s="155">
        <f>J14-M14</f>
        <v/>
      </c>
      <c r="R14" s="156">
        <f>IF(J14=0,0,Q14/J14)</f>
        <v/>
      </c>
      <c r="S14" s="64" t="inlineStr">
        <is>
          <t>FV1</t>
        </is>
      </c>
      <c r="T14" s="69" t="inlineStr">
        <is>
          <t>On Track</t>
        </is>
      </c>
      <c r="U14" s="154" t="n">
        <v>45875</v>
      </c>
      <c r="V14" s="63" t="inlineStr">
        <is>
          <t>James Wilson</t>
        </is>
      </c>
    </row>
    <row r="15" ht="18" customHeight="1">
      <c r="A15" s="62" t="inlineStr">
        <is>
          <t>EVT-2025-014</t>
        </is>
      </c>
      <c r="B15" s="70" t="inlineStr">
        <is>
          <t>Cognivex Speaker Program Athens Nov 2025</t>
        </is>
      </c>
      <c r="C15" s="71" t="inlineStr">
        <is>
          <t>CC-3503</t>
        </is>
      </c>
      <c r="D15" s="71" t="inlineStr">
        <is>
          <t>GL-6325</t>
        </is>
      </c>
      <c r="E15" s="71" t="inlineStr">
        <is>
          <t>Neurology</t>
        </is>
      </c>
      <c r="F15" s="71" t="inlineStr">
        <is>
          <t>BU Neuroscience</t>
        </is>
      </c>
      <c r="G15" s="71" t="inlineStr">
        <is>
          <t>Speaker Program</t>
        </is>
      </c>
      <c r="H15" s="157" t="n">
        <v>45963</v>
      </c>
      <c r="I15" s="73" t="n">
        <v>498118.87</v>
      </c>
      <c r="J15" s="73" t="n">
        <v>475376.27</v>
      </c>
      <c r="K15" s="73" t="n">
        <v>466805.69</v>
      </c>
      <c r="L15" s="73" t="n">
        <v>480537.59</v>
      </c>
      <c r="M15" s="73">
        <f>L15</f>
        <v/>
      </c>
      <c r="N15" s="73" t="n">
        <v>270191.07</v>
      </c>
      <c r="O15" s="73" t="n">
        <v>207879.18</v>
      </c>
      <c r="P15" s="73">
        <f>M15-N15</f>
        <v/>
      </c>
      <c r="Q15" s="158">
        <f>J15-M15</f>
        <v/>
      </c>
      <c r="R15" s="161">
        <f>IF(J15=0,0,Q15/J15)</f>
        <v/>
      </c>
      <c r="S15" s="71" t="inlineStr">
        <is>
          <t>FV2</t>
        </is>
      </c>
      <c r="T15" s="69" t="inlineStr">
        <is>
          <t>On Track</t>
        </is>
      </c>
      <c r="U15" s="157" t="n">
        <v>45908</v>
      </c>
      <c r="V15" s="70" t="inlineStr">
        <is>
          <t>Ana García</t>
        </is>
      </c>
    </row>
    <row r="16" ht="18" customHeight="1">
      <c r="A16" s="62" t="inlineStr">
        <is>
          <t>EVT-2025-015</t>
        </is>
      </c>
      <c r="B16" s="63" t="inlineStr">
        <is>
          <t>Orphavex Congress Paris Dec 2025</t>
        </is>
      </c>
      <c r="C16" s="64" t="inlineStr">
        <is>
          <t>CC-7883</t>
        </is>
      </c>
      <c r="D16" s="64" t="inlineStr">
        <is>
          <t>GL-6315</t>
        </is>
      </c>
      <c r="E16" s="64" t="inlineStr">
        <is>
          <t>Rare Diseases</t>
        </is>
      </c>
      <c r="F16" s="64" t="inlineStr">
        <is>
          <t>BU Rare Diseases</t>
        </is>
      </c>
      <c r="G16" s="64" t="inlineStr">
        <is>
          <t>Congress</t>
        </is>
      </c>
      <c r="H16" s="154" t="n">
        <v>46007</v>
      </c>
      <c r="I16" s="66" t="n">
        <v>179985.1</v>
      </c>
      <c r="J16" s="66" t="n">
        <v>169688.26</v>
      </c>
      <c r="K16" s="66" t="n">
        <v>168243.67</v>
      </c>
      <c r="L16" s="66" t="n">
        <v>169319.92</v>
      </c>
      <c r="M16" s="66">
        <f>L16</f>
        <v/>
      </c>
      <c r="N16" s="66" t="n">
        <v>120160.58</v>
      </c>
      <c r="O16" s="66" t="n">
        <v>86356.97</v>
      </c>
      <c r="P16" s="66">
        <f>M16-N16</f>
        <v/>
      </c>
      <c r="Q16" s="155">
        <f>J16-M16</f>
        <v/>
      </c>
      <c r="R16" s="156">
        <f>IF(J16=0,0,Q16/J16)</f>
        <v/>
      </c>
      <c r="S16" s="64" t="inlineStr">
        <is>
          <t>FV3</t>
        </is>
      </c>
      <c r="T16" s="69" t="inlineStr">
        <is>
          <t>On Track</t>
        </is>
      </c>
      <c r="U16" s="154" t="n">
        <v>45952</v>
      </c>
      <c r="V16" s="63" t="inlineStr">
        <is>
          <t>Ana García</t>
        </is>
      </c>
    </row>
    <row r="17" ht="18" customHeight="1">
      <c r="A17" s="62" t="inlineStr">
        <is>
          <t>EVT-2025-016</t>
        </is>
      </c>
      <c r="B17" s="70" t="inlineStr">
        <is>
          <t>Genetrix Speaker Program Warsaw Jan 2025</t>
        </is>
      </c>
      <c r="C17" s="71" t="inlineStr">
        <is>
          <t>CC-7232</t>
        </is>
      </c>
      <c r="D17" s="71" t="inlineStr">
        <is>
          <t>GL-6315</t>
        </is>
      </c>
      <c r="E17" s="71" t="inlineStr">
        <is>
          <t>Rare Diseases</t>
        </is>
      </c>
      <c r="F17" s="71" t="inlineStr">
        <is>
          <t>BU Rare Diseases</t>
        </is>
      </c>
      <c r="G17" s="71" t="inlineStr">
        <is>
          <t>Speaker Program</t>
        </is>
      </c>
      <c r="H17" s="157" t="n">
        <v>45659</v>
      </c>
      <c r="I17" s="73" t="n">
        <v>261225.61</v>
      </c>
      <c r="J17" s="73" t="n">
        <v>282376.45</v>
      </c>
      <c r="K17" s="73" t="n">
        <v>284750.65</v>
      </c>
      <c r="L17" s="73" t="n">
        <v>297993.7</v>
      </c>
      <c r="M17" s="73">
        <f>L17</f>
        <v/>
      </c>
      <c r="N17" s="73" t="n">
        <v>263882.19</v>
      </c>
      <c r="O17" s="73" t="n">
        <v>245325.57</v>
      </c>
      <c r="P17" s="73">
        <f>M17-N17</f>
        <v/>
      </c>
      <c r="Q17" s="158">
        <f>J17-M17</f>
        <v/>
      </c>
      <c r="R17" s="159">
        <f>IF(J17=0,0,Q17/J17)</f>
        <v/>
      </c>
      <c r="S17" s="71" t="inlineStr">
        <is>
          <t>FV2</t>
        </is>
      </c>
      <c r="T17" s="76" t="inlineStr">
        <is>
          <t>At Risk</t>
        </is>
      </c>
      <c r="U17" s="157" t="n">
        <v>45563</v>
      </c>
      <c r="V17" s="70" t="inlineStr">
        <is>
          <t>Thomas Dubois</t>
        </is>
      </c>
    </row>
    <row r="18" ht="18" customHeight="1">
      <c r="A18" s="62" t="inlineStr">
        <is>
          <t>EVT-2025-017</t>
        </is>
      </c>
      <c r="B18" s="63" t="inlineStr">
        <is>
          <t>Eplitazan Internal Meeting Budapest Nov 2025</t>
        </is>
      </c>
      <c r="C18" s="64" t="inlineStr">
        <is>
          <t>CC-7865</t>
        </is>
      </c>
      <c r="D18" s="64" t="inlineStr">
        <is>
          <t>GL-6320</t>
        </is>
      </c>
      <c r="E18" s="64" t="inlineStr">
        <is>
          <t>Cardiology</t>
        </is>
      </c>
      <c r="F18" s="64" t="inlineStr">
        <is>
          <t>BU Cardiovascular</t>
        </is>
      </c>
      <c r="G18" s="64" t="inlineStr">
        <is>
          <t>Internal Meeting</t>
        </is>
      </c>
      <c r="H18" s="154" t="n">
        <v>45969</v>
      </c>
      <c r="I18" s="66" t="n">
        <v>276598.83</v>
      </c>
      <c r="J18" s="66" t="n">
        <v>249265.12</v>
      </c>
      <c r="K18" s="66" t="n">
        <v>245569.98</v>
      </c>
      <c r="L18" s="66" t="n">
        <v>258556.28</v>
      </c>
      <c r="M18" s="66">
        <f>L18</f>
        <v/>
      </c>
      <c r="N18" s="66" t="n">
        <v>228577.09</v>
      </c>
      <c r="O18" s="66" t="n">
        <v>0</v>
      </c>
      <c r="P18" s="66">
        <f>M18-N18</f>
        <v/>
      </c>
      <c r="Q18" s="160">
        <f>J18-M18</f>
        <v/>
      </c>
      <c r="R18" s="156">
        <f>IF(J18=0,0,Q18/J18)</f>
        <v/>
      </c>
      <c r="S18" s="64" t="inlineStr">
        <is>
          <t>FV1</t>
        </is>
      </c>
      <c r="T18" s="69" t="inlineStr">
        <is>
          <t>On Track</t>
        </is>
      </c>
      <c r="U18" s="154" t="n">
        <v>45894</v>
      </c>
      <c r="V18" s="63" t="inlineStr">
        <is>
          <t>Lucas Dupont</t>
        </is>
      </c>
    </row>
    <row r="19" ht="18" customHeight="1">
      <c r="A19" s="62" t="inlineStr">
        <is>
          <t>EVT-2025-018</t>
        </is>
      </c>
      <c r="B19" s="70" t="inlineStr">
        <is>
          <t>Caprexosin Launch Event Prague Jan 2025</t>
        </is>
      </c>
      <c r="C19" s="71" t="inlineStr">
        <is>
          <t>CC-8140</t>
        </is>
      </c>
      <c r="D19" s="71" t="inlineStr">
        <is>
          <t>GL-6315</t>
        </is>
      </c>
      <c r="E19" s="71" t="inlineStr">
        <is>
          <t>Oncology</t>
        </is>
      </c>
      <c r="F19" s="71" t="inlineStr">
        <is>
          <t>BU Oncology</t>
        </is>
      </c>
      <c r="G19" s="71" t="inlineStr">
        <is>
          <t>Launch Event</t>
        </is>
      </c>
      <c r="H19" s="157" t="n">
        <v>45667</v>
      </c>
      <c r="I19" s="73" t="n">
        <v>131134.37</v>
      </c>
      <c r="J19" s="73" t="n">
        <v>137625.93</v>
      </c>
      <c r="K19" s="73" t="n">
        <v>138260.83</v>
      </c>
      <c r="L19" s="73" t="n">
        <v>143287.69</v>
      </c>
      <c r="M19" s="73">
        <f>L19</f>
        <v/>
      </c>
      <c r="N19" s="73" t="n">
        <v>85864.06</v>
      </c>
      <c r="O19" s="73" t="n">
        <v>65756.97</v>
      </c>
      <c r="P19" s="73">
        <f>M19-N19</f>
        <v/>
      </c>
      <c r="Q19" s="158">
        <f>J19-M19</f>
        <v/>
      </c>
      <c r="R19" s="161">
        <f>IF(J19=0,0,Q19/J19)</f>
        <v/>
      </c>
      <c r="S19" s="71" t="inlineStr">
        <is>
          <t>FV3</t>
        </is>
      </c>
      <c r="T19" s="69" t="inlineStr">
        <is>
          <t>On Track</t>
        </is>
      </c>
      <c r="U19" s="157" t="n">
        <v>45585</v>
      </c>
      <c r="V19" s="70" t="inlineStr">
        <is>
          <t>Emma Johansson</t>
        </is>
      </c>
    </row>
    <row r="20" ht="18" customHeight="1">
      <c r="A20" s="62" t="inlineStr">
        <is>
          <t>EVT-2025-019</t>
        </is>
      </c>
      <c r="B20" s="63" t="inlineStr">
        <is>
          <t>Influximab Advisory Board London Sep 2025</t>
        </is>
      </c>
      <c r="C20" s="64" t="inlineStr">
        <is>
          <t>CC-8657</t>
        </is>
      </c>
      <c r="D20" s="64" t="inlineStr">
        <is>
          <t>GL-6311</t>
        </is>
      </c>
      <c r="E20" s="64" t="inlineStr">
        <is>
          <t>Immunology</t>
        </is>
      </c>
      <c r="F20" s="64" t="inlineStr">
        <is>
          <t>BU Immunology</t>
        </is>
      </c>
      <c r="G20" s="64" t="inlineStr">
        <is>
          <t>Advisory Board</t>
        </is>
      </c>
      <c r="H20" s="154" t="n">
        <v>45906</v>
      </c>
      <c r="I20" s="66" t="n">
        <v>386429.7</v>
      </c>
      <c r="J20" s="66" t="n">
        <v>350029.94</v>
      </c>
      <c r="K20" s="66" t="n">
        <v>344293.98</v>
      </c>
      <c r="L20" s="66" t="n">
        <v>359685.85</v>
      </c>
      <c r="M20" s="66">
        <f>L20</f>
        <v/>
      </c>
      <c r="N20" s="66" t="n">
        <v>245285.07</v>
      </c>
      <c r="O20" s="66" t="n">
        <v>183844.45</v>
      </c>
      <c r="P20" s="66">
        <f>M20-N20</f>
        <v/>
      </c>
      <c r="Q20" s="160">
        <f>J20-M20</f>
        <v/>
      </c>
      <c r="R20" s="156">
        <f>IF(J20=0,0,Q20/J20)</f>
        <v/>
      </c>
      <c r="S20" s="64" t="inlineStr">
        <is>
          <t>FV2</t>
        </is>
      </c>
      <c r="T20" s="69" t="inlineStr">
        <is>
          <t>On Track</t>
        </is>
      </c>
      <c r="U20" s="154" t="n">
        <v>45856</v>
      </c>
      <c r="V20" s="63" t="inlineStr">
        <is>
          <t>Emma Johansson</t>
        </is>
      </c>
    </row>
    <row r="21" ht="18" customHeight="1">
      <c r="A21" s="62" t="inlineStr">
        <is>
          <t>EVT-2025-020</t>
        </is>
      </c>
      <c r="B21" s="70" t="inlineStr">
        <is>
          <t>Cognivex Symposium Istanbul Mar 2025</t>
        </is>
      </c>
      <c r="C21" s="71" t="inlineStr">
        <is>
          <t>CC-2375</t>
        </is>
      </c>
      <c r="D21" s="71" t="inlineStr">
        <is>
          <t>GL-6325</t>
        </is>
      </c>
      <c r="E21" s="71" t="inlineStr">
        <is>
          <t>Neurology</t>
        </is>
      </c>
      <c r="F21" s="71" t="inlineStr">
        <is>
          <t>BU Neuroscience</t>
        </is>
      </c>
      <c r="G21" s="71" t="inlineStr">
        <is>
          <t>Symposium</t>
        </is>
      </c>
      <c r="H21" s="157" t="n">
        <v>45742</v>
      </c>
      <c r="I21" s="73" t="n">
        <v>220221.9</v>
      </c>
      <c r="J21" s="73" t="n">
        <v>241395</v>
      </c>
      <c r="K21" s="73" t="n">
        <v>242218.73</v>
      </c>
      <c r="L21" s="73" t="n">
        <v>259116.44</v>
      </c>
      <c r="M21" s="73">
        <f>L21</f>
        <v/>
      </c>
      <c r="N21" s="73" t="n">
        <v>198574.34</v>
      </c>
      <c r="O21" s="73" t="n">
        <v>178498.46</v>
      </c>
      <c r="P21" s="73">
        <f>M21-N21</f>
        <v/>
      </c>
      <c r="Q21" s="158">
        <f>J21-M21</f>
        <v/>
      </c>
      <c r="R21" s="159">
        <f>IF(J21=0,0,Q21/J21)</f>
        <v/>
      </c>
      <c r="S21" s="71" t="inlineStr">
        <is>
          <t>FV1</t>
        </is>
      </c>
      <c r="T21" s="76" t="inlineStr">
        <is>
          <t>At Risk</t>
        </is>
      </c>
      <c r="U21" s="157" t="n">
        <v>45642</v>
      </c>
      <c r="V21" s="70" t="inlineStr">
        <is>
          <t>Lucas Dupont</t>
        </is>
      </c>
    </row>
    <row r="22" ht="18" customHeight="1">
      <c r="A22" s="62" t="inlineStr">
        <is>
          <t>EVT-2025-021</t>
        </is>
      </c>
      <c r="B22" s="63" t="inlineStr">
        <is>
          <t>Influximab KOL Meeting Copenhagen Jul 2025</t>
        </is>
      </c>
      <c r="C22" s="64" t="inlineStr">
        <is>
          <t>CC-8449</t>
        </is>
      </c>
      <c r="D22" s="64" t="inlineStr">
        <is>
          <t>GL-6312</t>
        </is>
      </c>
      <c r="E22" s="64" t="inlineStr">
        <is>
          <t>Immunology</t>
        </is>
      </c>
      <c r="F22" s="64" t="inlineStr">
        <is>
          <t>BU Immunology</t>
        </is>
      </c>
      <c r="G22" s="64" t="inlineStr">
        <is>
          <t>KOL Meeting</t>
        </is>
      </c>
      <c r="H22" s="154" t="n">
        <v>45862</v>
      </c>
      <c r="I22" s="66" t="n">
        <v>233970.78</v>
      </c>
      <c r="J22" s="66" t="n">
        <v>230630.27</v>
      </c>
      <c r="K22" s="66" t="n">
        <v>239090.97</v>
      </c>
      <c r="L22" s="66" t="n">
        <v>236697.72</v>
      </c>
      <c r="M22" s="66">
        <f>L22</f>
        <v/>
      </c>
      <c r="N22" s="66" t="n">
        <v>146059.14</v>
      </c>
      <c r="O22" s="66" t="n">
        <v>116585.25</v>
      </c>
      <c r="P22" s="66">
        <f>M22-N22</f>
        <v/>
      </c>
      <c r="Q22" s="160">
        <f>J22-M22</f>
        <v/>
      </c>
      <c r="R22" s="156">
        <f>IF(J22=0,0,Q22/J22)</f>
        <v/>
      </c>
      <c r="S22" s="64" t="inlineStr">
        <is>
          <t>FV2</t>
        </is>
      </c>
      <c r="T22" s="69" t="inlineStr">
        <is>
          <t>On Track</t>
        </is>
      </c>
      <c r="U22" s="154" t="n">
        <v>45806</v>
      </c>
      <c r="V22" s="63" t="inlineStr">
        <is>
          <t>Lena Schneider</t>
        </is>
      </c>
    </row>
    <row r="23" ht="18" customHeight="1">
      <c r="A23" s="62" t="inlineStr">
        <is>
          <t>EVT-2025-022</t>
        </is>
      </c>
      <c r="B23" s="70" t="inlineStr">
        <is>
          <t>Imunexal Advisory Board Stockholm Jan 2025</t>
        </is>
      </c>
      <c r="C23" s="71" t="inlineStr">
        <is>
          <t>CC-2341</t>
        </is>
      </c>
      <c r="D23" s="71" t="inlineStr">
        <is>
          <t>GL-6315</t>
        </is>
      </c>
      <c r="E23" s="71" t="inlineStr">
        <is>
          <t>Immunology</t>
        </is>
      </c>
      <c r="F23" s="71" t="inlineStr">
        <is>
          <t>BU Immunology</t>
        </is>
      </c>
      <c r="G23" s="71" t="inlineStr">
        <is>
          <t>Advisory Board</t>
        </is>
      </c>
      <c r="H23" s="157" t="n">
        <v>45668</v>
      </c>
      <c r="I23" s="73" t="n">
        <v>49431.65</v>
      </c>
      <c r="J23" s="73" t="n">
        <v>47825.13</v>
      </c>
      <c r="K23" s="73" t="n">
        <v>49640.76</v>
      </c>
      <c r="L23" s="73" t="n">
        <v>49670.95</v>
      </c>
      <c r="M23" s="73">
        <f>L23</f>
        <v/>
      </c>
      <c r="N23" s="73" t="n">
        <v>46096.72</v>
      </c>
      <c r="O23" s="73" t="n">
        <v>38097.53</v>
      </c>
      <c r="P23" s="73">
        <f>M23-N23</f>
        <v/>
      </c>
      <c r="Q23" s="158">
        <f>J23-M23</f>
        <v/>
      </c>
      <c r="R23" s="161">
        <f>IF(J23=0,0,Q23/J23)</f>
        <v/>
      </c>
      <c r="S23" s="71" t="inlineStr">
        <is>
          <t>FV3</t>
        </is>
      </c>
      <c r="T23" s="69" t="inlineStr">
        <is>
          <t>On Track</t>
        </is>
      </c>
      <c r="U23" s="157" t="n">
        <v>45577</v>
      </c>
      <c r="V23" s="70" t="inlineStr">
        <is>
          <t>Marco Bianchi</t>
        </is>
      </c>
    </row>
    <row r="24" ht="18" customHeight="1">
      <c r="A24" s="62" t="inlineStr">
        <is>
          <t>EVT-2025-023</t>
        </is>
      </c>
      <c r="B24" s="63" t="inlineStr">
        <is>
          <t>Nexolimab Advisory Board Barcelona Jun 2025</t>
        </is>
      </c>
      <c r="C24" s="64" t="inlineStr">
        <is>
          <t>CC-1659</t>
        </is>
      </c>
      <c r="D24" s="64" t="inlineStr">
        <is>
          <t>GL-6330</t>
        </is>
      </c>
      <c r="E24" s="64" t="inlineStr">
        <is>
          <t>Oncology</t>
        </is>
      </c>
      <c r="F24" s="64" t="inlineStr">
        <is>
          <t>BU Oncology</t>
        </is>
      </c>
      <c r="G24" s="64" t="inlineStr">
        <is>
          <t>Advisory Board</t>
        </is>
      </c>
      <c r="H24" s="154" t="n">
        <v>45827</v>
      </c>
      <c r="I24" s="66" t="n">
        <v>339454.22</v>
      </c>
      <c r="J24" s="66" t="n">
        <v>306824.75</v>
      </c>
      <c r="K24" s="66" t="n">
        <v>308034.22</v>
      </c>
      <c r="L24" s="66" t="n">
        <v>332673.83</v>
      </c>
      <c r="M24" s="66">
        <f>L24</f>
        <v/>
      </c>
      <c r="N24" s="66" t="n">
        <v>218727.11</v>
      </c>
      <c r="O24" s="66" t="n">
        <v>195770.22</v>
      </c>
      <c r="P24" s="66">
        <f>M24-N24</f>
        <v/>
      </c>
      <c r="Q24" s="160">
        <f>J24-M24</f>
        <v/>
      </c>
      <c r="R24" s="162">
        <f>IF(J24=0,0,Q24/J24)</f>
        <v/>
      </c>
      <c r="S24" s="64" t="inlineStr">
        <is>
          <t>FV2</t>
        </is>
      </c>
      <c r="T24" s="76" t="inlineStr">
        <is>
          <t>At Risk</t>
        </is>
      </c>
      <c r="U24" s="154" t="n">
        <v>45767</v>
      </c>
      <c r="V24" s="63" t="inlineStr">
        <is>
          <t>Thomas Dubois</t>
        </is>
      </c>
    </row>
    <row r="25" ht="18" customHeight="1">
      <c r="A25" s="62" t="inlineStr">
        <is>
          <t>EVT-2025-024</t>
        </is>
      </c>
      <c r="B25" s="70" t="inlineStr">
        <is>
          <t>Influximab Speaker Program Dublin Oct 2025</t>
        </is>
      </c>
      <c r="C25" s="71" t="inlineStr">
        <is>
          <t>CC-4908</t>
        </is>
      </c>
      <c r="D25" s="71" t="inlineStr">
        <is>
          <t>GL-6311</t>
        </is>
      </c>
      <c r="E25" s="71" t="inlineStr">
        <is>
          <t>Immunology</t>
        </is>
      </c>
      <c r="F25" s="71" t="inlineStr">
        <is>
          <t>BU Immunology</t>
        </is>
      </c>
      <c r="G25" s="71" t="inlineStr">
        <is>
          <t>Speaker Program</t>
        </is>
      </c>
      <c r="H25" s="157" t="n">
        <v>45953</v>
      </c>
      <c r="I25" s="73" t="n">
        <v>406636.04</v>
      </c>
      <c r="J25" s="73" t="n">
        <v>368496.02</v>
      </c>
      <c r="K25" s="73" t="n">
        <v>359183.51</v>
      </c>
      <c r="L25" s="73" t="n">
        <v>381566.09</v>
      </c>
      <c r="M25" s="73">
        <f>L25</f>
        <v/>
      </c>
      <c r="N25" s="73" t="n">
        <v>297469.32</v>
      </c>
      <c r="O25" s="73" t="n">
        <v>0</v>
      </c>
      <c r="P25" s="73">
        <f>M25-N25</f>
        <v/>
      </c>
      <c r="Q25" s="158">
        <f>J25-M25</f>
        <v/>
      </c>
      <c r="R25" s="161">
        <f>IF(J25=0,0,Q25/J25)</f>
        <v/>
      </c>
      <c r="S25" s="71" t="inlineStr">
        <is>
          <t>FV1</t>
        </is>
      </c>
      <c r="T25" s="69" t="inlineStr">
        <is>
          <t>On Track</t>
        </is>
      </c>
      <c r="U25" s="157" t="n">
        <v>45922</v>
      </c>
      <c r="V25" s="70" t="inlineStr">
        <is>
          <t>Lucas Dupont</t>
        </is>
      </c>
    </row>
    <row r="26" ht="18" customHeight="1">
      <c r="A26" s="62" t="inlineStr">
        <is>
          <t>EVT-2025-025</t>
        </is>
      </c>
      <c r="B26" s="63" t="inlineStr">
        <is>
          <t>Imunexal Advisory Board Athens Jul 2025</t>
        </is>
      </c>
      <c r="C26" s="64" t="inlineStr">
        <is>
          <t>CC-7043</t>
        </is>
      </c>
      <c r="D26" s="64" t="inlineStr">
        <is>
          <t>GL-6311</t>
        </is>
      </c>
      <c r="E26" s="64" t="inlineStr">
        <is>
          <t>Immunology</t>
        </is>
      </c>
      <c r="F26" s="64" t="inlineStr">
        <is>
          <t>BU Immunology</t>
        </is>
      </c>
      <c r="G26" s="64" t="inlineStr">
        <is>
          <t>Advisory Board</t>
        </is>
      </c>
      <c r="H26" s="154" t="n">
        <v>45839</v>
      </c>
      <c r="I26" s="66" t="n">
        <v>41273.03</v>
      </c>
      <c r="J26" s="66" t="n">
        <v>41054.79</v>
      </c>
      <c r="K26" s="66" t="n">
        <v>39471.67</v>
      </c>
      <c r="L26" s="66" t="n">
        <v>42402.57</v>
      </c>
      <c r="M26" s="66">
        <f>L26</f>
        <v/>
      </c>
      <c r="N26" s="66" t="n">
        <v>30074.67</v>
      </c>
      <c r="O26" s="66" t="n">
        <v>23364.2</v>
      </c>
      <c r="P26" s="66">
        <f>M26-N26</f>
        <v/>
      </c>
      <c r="Q26" s="160">
        <f>J26-M26</f>
        <v/>
      </c>
      <c r="R26" s="156">
        <f>IF(J26=0,0,Q26/J26)</f>
        <v/>
      </c>
      <c r="S26" s="64" t="inlineStr">
        <is>
          <t>FV3</t>
        </is>
      </c>
      <c r="T26" s="69" t="inlineStr">
        <is>
          <t>On Track</t>
        </is>
      </c>
      <c r="U26" s="154" t="n">
        <v>45798</v>
      </c>
      <c r="V26" s="63" t="inlineStr">
        <is>
          <t>David O'Brien</t>
        </is>
      </c>
    </row>
    <row r="27" ht="18" customHeight="1">
      <c r="A27" s="62" t="inlineStr">
        <is>
          <t>EVT-2025-026</t>
        </is>
      </c>
      <c r="B27" s="70" t="inlineStr">
        <is>
          <t>Cordavex Investigator Meeting Stockholm Feb 2025</t>
        </is>
      </c>
      <c r="C27" s="71" t="inlineStr">
        <is>
          <t>CC-3683</t>
        </is>
      </c>
      <c r="D27" s="71" t="inlineStr">
        <is>
          <t>GL-6312</t>
        </is>
      </c>
      <c r="E27" s="71" t="inlineStr">
        <is>
          <t>Cardiology</t>
        </is>
      </c>
      <c r="F27" s="71" t="inlineStr">
        <is>
          <t>BU Cardiovascular</t>
        </is>
      </c>
      <c r="G27" s="71" t="inlineStr">
        <is>
          <t>Investigator Meeting</t>
        </is>
      </c>
      <c r="H27" s="157" t="n">
        <v>45713</v>
      </c>
      <c r="I27" s="73" t="n">
        <v>232577.57</v>
      </c>
      <c r="J27" s="73" t="n">
        <v>237503.22</v>
      </c>
      <c r="K27" s="73" t="n">
        <v>248517.07</v>
      </c>
      <c r="L27" s="73" t="n">
        <v>260699.2</v>
      </c>
      <c r="M27" s="73">
        <f>L27</f>
        <v/>
      </c>
      <c r="N27" s="73" t="n">
        <v>221595.98</v>
      </c>
      <c r="O27" s="73" t="n">
        <v>0</v>
      </c>
      <c r="P27" s="73">
        <f>M27-N27</f>
        <v/>
      </c>
      <c r="Q27" s="158">
        <f>J27-M27</f>
        <v/>
      </c>
      <c r="R27" s="159">
        <f>IF(J27=0,0,Q27/J27)</f>
        <v/>
      </c>
      <c r="S27" s="71" t="inlineStr">
        <is>
          <t>FV1</t>
        </is>
      </c>
      <c r="T27" s="76" t="inlineStr">
        <is>
          <t>At Risk</t>
        </is>
      </c>
      <c r="U27" s="157" t="n">
        <v>45610</v>
      </c>
      <c r="V27" s="70" t="inlineStr">
        <is>
          <t>Marco Bianchi</t>
        </is>
      </c>
    </row>
    <row r="28" ht="18" customHeight="1">
      <c r="A28" s="62" t="inlineStr">
        <is>
          <t>EVT-2025-027</t>
        </is>
      </c>
      <c r="B28" s="63" t="inlineStr">
        <is>
          <t>Hemaflex Internal Meeting Warsaw May 2025</t>
        </is>
      </c>
      <c r="C28" s="64" t="inlineStr">
        <is>
          <t>CC-7498</t>
        </is>
      </c>
      <c r="D28" s="64" t="inlineStr">
        <is>
          <t>GL-6325</t>
        </is>
      </c>
      <c r="E28" s="64" t="inlineStr">
        <is>
          <t>Hematology</t>
        </is>
      </c>
      <c r="F28" s="64" t="inlineStr">
        <is>
          <t>BU Oncology</t>
        </is>
      </c>
      <c r="G28" s="64" t="inlineStr">
        <is>
          <t>Internal Meeting</t>
        </is>
      </c>
      <c r="H28" s="154" t="n">
        <v>45785</v>
      </c>
      <c r="I28" s="66" t="n">
        <v>62485.73</v>
      </c>
      <c r="J28" s="66" t="n">
        <v>57588.08</v>
      </c>
      <c r="K28" s="66" t="n">
        <v>54856.55</v>
      </c>
      <c r="L28" s="66" t="n">
        <v>55093.27</v>
      </c>
      <c r="M28" s="66">
        <f>L28</f>
        <v/>
      </c>
      <c r="N28" s="66" t="n">
        <v>44339.41</v>
      </c>
      <c r="O28" s="66" t="n">
        <v>43783.03</v>
      </c>
      <c r="P28" s="66">
        <f>M28-N28</f>
        <v/>
      </c>
      <c r="Q28" s="155">
        <f>J28-M28</f>
        <v/>
      </c>
      <c r="R28" s="156">
        <f>IF(J28=0,0,Q28/J28)</f>
        <v/>
      </c>
      <c r="S28" s="64" t="inlineStr">
        <is>
          <t>FV3</t>
        </is>
      </c>
      <c r="T28" s="69" t="inlineStr">
        <is>
          <t>On Track</t>
        </is>
      </c>
      <c r="U28" s="154" t="n">
        <v>45692</v>
      </c>
      <c r="V28" s="63" t="inlineStr">
        <is>
          <t>Maria Kowalski</t>
        </is>
      </c>
    </row>
    <row r="29" ht="18" customHeight="1">
      <c r="A29" s="62" t="inlineStr">
        <is>
          <t>EVT-2025-028</t>
        </is>
      </c>
      <c r="B29" s="70" t="inlineStr">
        <is>
          <t>Nexolimab KOL Meeting Milan Jul 2025</t>
        </is>
      </c>
      <c r="C29" s="71" t="inlineStr">
        <is>
          <t>CC-5941</t>
        </is>
      </c>
      <c r="D29" s="71" t="inlineStr">
        <is>
          <t>GL-6330</t>
        </is>
      </c>
      <c r="E29" s="71" t="inlineStr">
        <is>
          <t>Oncology</t>
        </is>
      </c>
      <c r="F29" s="71" t="inlineStr">
        <is>
          <t>BU Oncology</t>
        </is>
      </c>
      <c r="G29" s="71" t="inlineStr">
        <is>
          <t>KOL Meeting</t>
        </is>
      </c>
      <c r="H29" s="157" t="n">
        <v>45866</v>
      </c>
      <c r="I29" s="73" t="n">
        <v>452684.79</v>
      </c>
      <c r="J29" s="73" t="n">
        <v>425372.49</v>
      </c>
      <c r="K29" s="73" t="n">
        <v>429290.08</v>
      </c>
      <c r="L29" s="73" t="n">
        <v>455632.56</v>
      </c>
      <c r="M29" s="73">
        <f>L29</f>
        <v/>
      </c>
      <c r="N29" s="73" t="n">
        <v>277608.82</v>
      </c>
      <c r="O29" s="73" t="n">
        <v>252390.25</v>
      </c>
      <c r="P29" s="73">
        <f>M29-N29</f>
        <v/>
      </c>
      <c r="Q29" s="158">
        <f>J29-M29</f>
        <v/>
      </c>
      <c r="R29" s="159">
        <f>IF(J29=0,0,Q29/J29)</f>
        <v/>
      </c>
      <c r="S29" s="71" t="inlineStr">
        <is>
          <t>FV1</t>
        </is>
      </c>
      <c r="T29" s="76" t="inlineStr">
        <is>
          <t>At Risk</t>
        </is>
      </c>
      <c r="U29" s="157" t="n">
        <v>45825</v>
      </c>
      <c r="V29" s="70" t="inlineStr">
        <is>
          <t>David O'Brien</t>
        </is>
      </c>
    </row>
    <row r="30" ht="18" customHeight="1">
      <c r="A30" s="62" t="inlineStr">
        <is>
          <t>EVT-2025-029</t>
        </is>
      </c>
      <c r="B30" s="63" t="inlineStr">
        <is>
          <t>Axotrin Congress Lisbon May 2025</t>
        </is>
      </c>
      <c r="C30" s="64" t="inlineStr">
        <is>
          <t>CC-9728</t>
        </is>
      </c>
      <c r="D30" s="64" t="inlineStr">
        <is>
          <t>GL-6315</t>
        </is>
      </c>
      <c r="E30" s="64" t="inlineStr">
        <is>
          <t>Neurology</t>
        </is>
      </c>
      <c r="F30" s="64" t="inlineStr">
        <is>
          <t>BU Neuroscience</t>
        </is>
      </c>
      <c r="G30" s="64" t="inlineStr">
        <is>
          <t>Congress</t>
        </is>
      </c>
      <c r="H30" s="154" t="n">
        <v>45793</v>
      </c>
      <c r="I30" s="66" t="n">
        <v>479299.06</v>
      </c>
      <c r="J30" s="66" t="n">
        <v>496962.1</v>
      </c>
      <c r="K30" s="66" t="n">
        <v>512145.68</v>
      </c>
      <c r="L30" s="66" t="n">
        <v>541637.59</v>
      </c>
      <c r="M30" s="66">
        <f>L30</f>
        <v/>
      </c>
      <c r="N30" s="66" t="n">
        <v>408757.45</v>
      </c>
      <c r="O30" s="66" t="n">
        <v>291166.41</v>
      </c>
      <c r="P30" s="66">
        <f>M30-N30</f>
        <v/>
      </c>
      <c r="Q30" s="160">
        <f>J30-M30</f>
        <v/>
      </c>
      <c r="R30" s="162">
        <f>IF(J30=0,0,Q30/J30)</f>
        <v/>
      </c>
      <c r="S30" s="64" t="inlineStr">
        <is>
          <t>FV3</t>
        </is>
      </c>
      <c r="T30" s="76" t="inlineStr">
        <is>
          <t>At Risk</t>
        </is>
      </c>
      <c r="U30" s="154" t="n">
        <v>45754</v>
      </c>
      <c r="V30" s="63" t="inlineStr">
        <is>
          <t>Ana García</t>
        </is>
      </c>
    </row>
    <row r="31" ht="18" customHeight="1">
      <c r="A31" s="62" t="inlineStr">
        <is>
          <t>EVT-2025-030</t>
        </is>
      </c>
      <c r="B31" s="70" t="inlineStr">
        <is>
          <t>Gastroven KOL Meeting Copenhagen Apr 2025</t>
        </is>
      </c>
      <c r="C31" s="71" t="inlineStr">
        <is>
          <t>CC-9031</t>
        </is>
      </c>
      <c r="D31" s="71" t="inlineStr">
        <is>
          <t>GL-6310</t>
        </is>
      </c>
      <c r="E31" s="71" t="inlineStr">
        <is>
          <t>Gastroenterology</t>
        </is>
      </c>
      <c r="F31" s="71" t="inlineStr">
        <is>
          <t>BU Cardiovascular</t>
        </is>
      </c>
      <c r="G31" s="71" t="inlineStr">
        <is>
          <t>KOL Meeting</t>
        </is>
      </c>
      <c r="H31" s="157" t="n">
        <v>45769</v>
      </c>
      <c r="I31" s="73" t="n">
        <v>44564.42</v>
      </c>
      <c r="J31" s="73" t="n">
        <v>46004.04</v>
      </c>
      <c r="K31" s="73" t="n">
        <v>44021.07</v>
      </c>
      <c r="L31" s="73" t="n">
        <v>45836.05</v>
      </c>
      <c r="M31" s="73">
        <f>L31</f>
        <v/>
      </c>
      <c r="N31" s="73" t="n">
        <v>23178.99</v>
      </c>
      <c r="O31" s="73" t="n">
        <v>19146.25</v>
      </c>
      <c r="P31" s="73">
        <f>M31-N31</f>
        <v/>
      </c>
      <c r="Q31" s="163">
        <f>J31-M31</f>
        <v/>
      </c>
      <c r="R31" s="161">
        <f>IF(J31=0,0,Q31/J31)</f>
        <v/>
      </c>
      <c r="S31" s="71" t="inlineStr">
        <is>
          <t>FV3</t>
        </is>
      </c>
      <c r="T31" s="69" t="inlineStr">
        <is>
          <t>On Track</t>
        </is>
      </c>
      <c r="U31" s="157" t="n">
        <v>45727</v>
      </c>
      <c r="V31" s="70" t="inlineStr">
        <is>
          <t>Sophie Müller</t>
        </is>
      </c>
    </row>
    <row r="32" ht="18" customHeight="1">
      <c r="A32" s="62" t="inlineStr">
        <is>
          <t>EVT-2025-031</t>
        </is>
      </c>
      <c r="B32" s="63" t="inlineStr">
        <is>
          <t>Antivex Congress Dublin Sep 2025</t>
        </is>
      </c>
      <c r="C32" s="64" t="inlineStr">
        <is>
          <t>CC-3885</t>
        </is>
      </c>
      <c r="D32" s="64" t="inlineStr">
        <is>
          <t>GL-6325</t>
        </is>
      </c>
      <c r="E32" s="64" t="inlineStr">
        <is>
          <t>Infectious Diseases</t>
        </is>
      </c>
      <c r="F32" s="64" t="inlineStr">
        <is>
          <t>BU Infectious Diseases</t>
        </is>
      </c>
      <c r="G32" s="64" t="inlineStr">
        <is>
          <t>Congress</t>
        </is>
      </c>
      <c r="H32" s="154" t="n">
        <v>45902</v>
      </c>
      <c r="I32" s="66" t="n">
        <v>91354.87</v>
      </c>
      <c r="J32" s="66" t="n">
        <v>90140.28</v>
      </c>
      <c r="K32" s="66" t="n">
        <v>88898.03999999999</v>
      </c>
      <c r="L32" s="66" t="n">
        <v>94949.62</v>
      </c>
      <c r="M32" s="66">
        <f>L32</f>
        <v/>
      </c>
      <c r="N32" s="66" t="n">
        <v>67118.24000000001</v>
      </c>
      <c r="O32" s="66" t="n">
        <v>50063.32</v>
      </c>
      <c r="P32" s="66">
        <f>M32-N32</f>
        <v/>
      </c>
      <c r="Q32" s="160">
        <f>J32-M32</f>
        <v/>
      </c>
      <c r="R32" s="162">
        <f>IF(J32=0,0,Q32/J32)</f>
        <v/>
      </c>
      <c r="S32" s="64" t="inlineStr">
        <is>
          <t>FV2</t>
        </is>
      </c>
      <c r="T32" s="76" t="inlineStr">
        <is>
          <t>At Risk</t>
        </is>
      </c>
      <c r="U32" s="154" t="n">
        <v>45790</v>
      </c>
      <c r="V32" s="63" t="inlineStr">
        <is>
          <t>Thomas Dubois</t>
        </is>
      </c>
    </row>
    <row r="33" ht="18" customHeight="1">
      <c r="A33" s="62" t="inlineStr">
        <is>
          <t>EVT-2025-032</t>
        </is>
      </c>
      <c r="B33" s="70" t="inlineStr">
        <is>
          <t>Cordavex Advisory Board Helsinki Feb 2025</t>
        </is>
      </c>
      <c r="C33" s="71" t="inlineStr">
        <is>
          <t>CC-8616</t>
        </is>
      </c>
      <c r="D33" s="71" t="inlineStr">
        <is>
          <t>GL-6315</t>
        </is>
      </c>
      <c r="E33" s="71" t="inlineStr">
        <is>
          <t>Cardiology</t>
        </is>
      </c>
      <c r="F33" s="71" t="inlineStr">
        <is>
          <t>BU Cardiovascular</t>
        </is>
      </c>
      <c r="G33" s="71" t="inlineStr">
        <is>
          <t>Advisory Board</t>
        </is>
      </c>
      <c r="H33" s="157" t="n">
        <v>45692</v>
      </c>
      <c r="I33" s="73" t="n">
        <v>134414.44</v>
      </c>
      <c r="J33" s="73" t="n">
        <v>134999.06</v>
      </c>
      <c r="K33" s="73" t="n">
        <v>137030.22</v>
      </c>
      <c r="L33" s="73" t="n">
        <v>142203.16</v>
      </c>
      <c r="M33" s="73">
        <f>L33</f>
        <v/>
      </c>
      <c r="N33" s="73" t="n">
        <v>129949.22</v>
      </c>
      <c r="O33" s="73" t="n">
        <v>121163.67</v>
      </c>
      <c r="P33" s="73">
        <f>M33-N33</f>
        <v/>
      </c>
      <c r="Q33" s="158">
        <f>J33-M33</f>
        <v/>
      </c>
      <c r="R33" s="159">
        <f>IF(J33=0,0,Q33/J33)</f>
        <v/>
      </c>
      <c r="S33" s="71" t="inlineStr">
        <is>
          <t>FV1</t>
        </is>
      </c>
      <c r="T33" s="76" t="inlineStr">
        <is>
          <t>At Risk</t>
        </is>
      </c>
      <c r="U33" s="157" t="n">
        <v>45604</v>
      </c>
      <c r="V33" s="70" t="inlineStr">
        <is>
          <t>Sophie Müller</t>
        </is>
      </c>
    </row>
    <row r="34" ht="18" customHeight="1">
      <c r="A34" s="62" t="inlineStr">
        <is>
          <t>EVT-2025-033</t>
        </is>
      </c>
      <c r="B34" s="63" t="inlineStr">
        <is>
          <t>Caprexosin Advisory Board Athens Dec 2025</t>
        </is>
      </c>
      <c r="C34" s="64" t="inlineStr">
        <is>
          <t>CC-5569</t>
        </is>
      </c>
      <c r="D34" s="64" t="inlineStr">
        <is>
          <t>GL-6315</t>
        </is>
      </c>
      <c r="E34" s="64" t="inlineStr">
        <is>
          <t>Oncology</t>
        </is>
      </c>
      <c r="F34" s="64" t="inlineStr">
        <is>
          <t>BU Oncology</t>
        </is>
      </c>
      <c r="G34" s="64" t="inlineStr">
        <is>
          <t>Advisory Board</t>
        </is>
      </c>
      <c r="H34" s="154" t="n">
        <v>45994</v>
      </c>
      <c r="I34" s="66" t="n">
        <v>339817.1</v>
      </c>
      <c r="J34" s="66" t="n">
        <v>361955.14</v>
      </c>
      <c r="K34" s="66" t="n">
        <v>365302.31</v>
      </c>
      <c r="L34" s="66" t="n">
        <v>367294.49</v>
      </c>
      <c r="M34" s="66">
        <f>L34</f>
        <v/>
      </c>
      <c r="N34" s="66" t="n">
        <v>224223.31</v>
      </c>
      <c r="O34" s="66" t="n">
        <v>219825.52</v>
      </c>
      <c r="P34" s="66">
        <f>M34-N34</f>
        <v/>
      </c>
      <c r="Q34" s="160">
        <f>J34-M34</f>
        <v/>
      </c>
      <c r="R34" s="156">
        <f>IF(J34=0,0,Q34/J34)</f>
        <v/>
      </c>
      <c r="S34" s="64" t="inlineStr">
        <is>
          <t>FV2</t>
        </is>
      </c>
      <c r="T34" s="69" t="inlineStr">
        <is>
          <t>On Track</t>
        </is>
      </c>
      <c r="U34" s="154" t="n">
        <v>45931</v>
      </c>
      <c r="V34" s="63" t="inlineStr">
        <is>
          <t>Ana García</t>
        </is>
      </c>
    </row>
    <row r="35" ht="18" customHeight="1">
      <c r="A35" s="62" t="inlineStr">
        <is>
          <t>EVT-2025-034</t>
        </is>
      </c>
      <c r="B35" s="70" t="inlineStr">
        <is>
          <t>Antivex Internal Meeting Lisbon Mar 2025</t>
        </is>
      </c>
      <c r="C35" s="71" t="inlineStr">
        <is>
          <t>CC-6325</t>
        </is>
      </c>
      <c r="D35" s="71" t="inlineStr">
        <is>
          <t>GL-6311</t>
        </is>
      </c>
      <c r="E35" s="71" t="inlineStr">
        <is>
          <t>Infectious Diseases</t>
        </is>
      </c>
      <c r="F35" s="71" t="inlineStr">
        <is>
          <t>BU Infectious Diseases</t>
        </is>
      </c>
      <c r="G35" s="71" t="inlineStr">
        <is>
          <t>Internal Meeting</t>
        </is>
      </c>
      <c r="H35" s="157" t="n">
        <v>45725</v>
      </c>
      <c r="I35" s="73" t="n">
        <v>19518</v>
      </c>
      <c r="J35" s="73" t="n">
        <v>18518.15</v>
      </c>
      <c r="K35" s="73" t="n">
        <v>18452.8</v>
      </c>
      <c r="L35" s="73" t="n">
        <v>19138.07</v>
      </c>
      <c r="M35" s="73">
        <f>L35</f>
        <v/>
      </c>
      <c r="N35" s="73" t="n">
        <v>12832.94</v>
      </c>
      <c r="O35" s="73" t="n">
        <v>9093.549999999999</v>
      </c>
      <c r="P35" s="73">
        <f>M35-N35</f>
        <v/>
      </c>
      <c r="Q35" s="158">
        <f>J35-M35</f>
        <v/>
      </c>
      <c r="R35" s="161">
        <f>IF(J35=0,0,Q35/J35)</f>
        <v/>
      </c>
      <c r="S35" s="71" t="inlineStr">
        <is>
          <t>FV2</t>
        </is>
      </c>
      <c r="T35" s="69" t="inlineStr">
        <is>
          <t>On Track</t>
        </is>
      </c>
      <c r="U35" s="157" t="n">
        <v>45689</v>
      </c>
      <c r="V35" s="70" t="inlineStr">
        <is>
          <t>Emma Johansson</t>
        </is>
      </c>
    </row>
    <row r="36" ht="18" customHeight="1">
      <c r="A36" s="62" t="inlineStr">
        <is>
          <t>EVT-2025-035</t>
        </is>
      </c>
      <c r="B36" s="63" t="inlineStr">
        <is>
          <t>Cordavex Webinar Amsterdam Sep 2025</t>
        </is>
      </c>
      <c r="C36" s="64" t="inlineStr">
        <is>
          <t>CC-5526</t>
        </is>
      </c>
      <c r="D36" s="64" t="inlineStr">
        <is>
          <t>GL-6320</t>
        </is>
      </c>
      <c r="E36" s="64" t="inlineStr">
        <is>
          <t>Cardiology</t>
        </is>
      </c>
      <c r="F36" s="64" t="inlineStr">
        <is>
          <t>BU Cardiovascular</t>
        </is>
      </c>
      <c r="G36" s="64" t="inlineStr">
        <is>
          <t>Webinar</t>
        </is>
      </c>
      <c r="H36" s="154" t="n">
        <v>45917</v>
      </c>
      <c r="I36" s="66" t="n">
        <v>442219.12</v>
      </c>
      <c r="J36" s="66" t="n">
        <v>441117.99</v>
      </c>
      <c r="K36" s="66" t="n">
        <v>434714.06</v>
      </c>
      <c r="L36" s="66" t="n">
        <v>434026.67</v>
      </c>
      <c r="M36" s="66">
        <f>L36</f>
        <v/>
      </c>
      <c r="N36" s="66" t="n">
        <v>271633.99</v>
      </c>
      <c r="O36" s="66" t="n">
        <v>0</v>
      </c>
      <c r="P36" s="66">
        <f>M36-N36</f>
        <v/>
      </c>
      <c r="Q36" s="155">
        <f>J36-M36</f>
        <v/>
      </c>
      <c r="R36" s="156">
        <f>IF(J36=0,0,Q36/J36)</f>
        <v/>
      </c>
      <c r="S36" s="64" t="inlineStr">
        <is>
          <t>FV1</t>
        </is>
      </c>
      <c r="T36" s="69" t="inlineStr">
        <is>
          <t>On Track</t>
        </is>
      </c>
      <c r="U36" s="154" t="n">
        <v>45865</v>
      </c>
      <c r="V36" s="63" t="inlineStr">
        <is>
          <t>Marco Bianchi</t>
        </is>
      </c>
    </row>
    <row r="37" ht="18" customHeight="1">
      <c r="A37" s="62" t="inlineStr">
        <is>
          <t>EVT-2025-036</t>
        </is>
      </c>
      <c r="B37" s="70" t="inlineStr">
        <is>
          <t>Bioflair Internal Meeting Milan Aug 2025</t>
        </is>
      </c>
      <c r="C37" s="71" t="inlineStr">
        <is>
          <t>CC-4937</t>
        </is>
      </c>
      <c r="D37" s="71" t="inlineStr">
        <is>
          <t>GL-6325</t>
        </is>
      </c>
      <c r="E37" s="71" t="inlineStr">
        <is>
          <t>Immunology</t>
        </is>
      </c>
      <c r="F37" s="71" t="inlineStr">
        <is>
          <t>BU Immunology</t>
        </is>
      </c>
      <c r="G37" s="71" t="inlineStr">
        <is>
          <t>Internal Meeting</t>
        </is>
      </c>
      <c r="H37" s="157" t="n">
        <v>45882</v>
      </c>
      <c r="I37" s="73" t="n">
        <v>271536.24</v>
      </c>
      <c r="J37" s="73" t="n">
        <v>244933.9</v>
      </c>
      <c r="K37" s="73" t="n">
        <v>255908.47</v>
      </c>
      <c r="L37" s="73" t="n">
        <v>250641.21</v>
      </c>
      <c r="M37" s="73">
        <f>L37</f>
        <v/>
      </c>
      <c r="N37" s="73" t="n">
        <v>206536.78</v>
      </c>
      <c r="O37" s="73" t="n">
        <v>174848.53</v>
      </c>
      <c r="P37" s="73">
        <f>M37-N37</f>
        <v/>
      </c>
      <c r="Q37" s="158">
        <f>J37-M37</f>
        <v/>
      </c>
      <c r="R37" s="161">
        <f>IF(J37=0,0,Q37/J37)</f>
        <v/>
      </c>
      <c r="S37" s="71" t="inlineStr">
        <is>
          <t>FV1</t>
        </is>
      </c>
      <c r="T37" s="69" t="inlineStr">
        <is>
          <t>On Track</t>
        </is>
      </c>
      <c r="U37" s="157" t="n">
        <v>45815</v>
      </c>
      <c r="V37" s="70" t="inlineStr">
        <is>
          <t>Lena Schneider</t>
        </is>
      </c>
    </row>
    <row r="38" ht="18" customHeight="1">
      <c r="A38" s="62" t="inlineStr">
        <is>
          <t>EVT-2025-037</t>
        </is>
      </c>
      <c r="B38" s="63" t="inlineStr">
        <is>
          <t>Orphavex Advisory Board Berlin May 2025</t>
        </is>
      </c>
      <c r="C38" s="64" t="inlineStr">
        <is>
          <t>CC-5820</t>
        </is>
      </c>
      <c r="D38" s="64" t="inlineStr">
        <is>
          <t>GL-6311</t>
        </is>
      </c>
      <c r="E38" s="64" t="inlineStr">
        <is>
          <t>Rare Diseases</t>
        </is>
      </c>
      <c r="F38" s="64" t="inlineStr">
        <is>
          <t>BU Rare Diseases</t>
        </is>
      </c>
      <c r="G38" s="64" t="inlineStr">
        <is>
          <t>Advisory Board</t>
        </is>
      </c>
      <c r="H38" s="154" t="n">
        <v>45793</v>
      </c>
      <c r="I38" s="66" t="n">
        <v>283313.47</v>
      </c>
      <c r="J38" s="66" t="n">
        <v>281958.84</v>
      </c>
      <c r="K38" s="66" t="n">
        <v>287931.92</v>
      </c>
      <c r="L38" s="66" t="n">
        <v>293488.78</v>
      </c>
      <c r="M38" s="66">
        <f>L38</f>
        <v/>
      </c>
      <c r="N38" s="66" t="n">
        <v>149021.71</v>
      </c>
      <c r="O38" s="66" t="n">
        <v>0</v>
      </c>
      <c r="P38" s="66">
        <f>M38-N38</f>
        <v/>
      </c>
      <c r="Q38" s="160">
        <f>J38-M38</f>
        <v/>
      </c>
      <c r="R38" s="156">
        <f>IF(J38=0,0,Q38/J38)</f>
        <v/>
      </c>
      <c r="S38" s="64" t="inlineStr">
        <is>
          <t>FV2</t>
        </is>
      </c>
      <c r="T38" s="69" t="inlineStr">
        <is>
          <t>On Track</t>
        </is>
      </c>
      <c r="U38" s="154" t="n">
        <v>45677</v>
      </c>
      <c r="V38" s="63" t="inlineStr">
        <is>
          <t>David O'Brien</t>
        </is>
      </c>
    </row>
    <row r="39" ht="18" customHeight="1">
      <c r="A39" s="62" t="inlineStr">
        <is>
          <t>EVT-2025-038</t>
        </is>
      </c>
      <c r="B39" s="70" t="inlineStr">
        <is>
          <t>Genetrix Satellite Symposium Amsterdam Jun 2025</t>
        </is>
      </c>
      <c r="C39" s="71" t="inlineStr">
        <is>
          <t>CC-6632</t>
        </is>
      </c>
      <c r="D39" s="71" t="inlineStr">
        <is>
          <t>GL-6315</t>
        </is>
      </c>
      <c r="E39" s="71" t="inlineStr">
        <is>
          <t>Rare Diseases</t>
        </is>
      </c>
      <c r="F39" s="71" t="inlineStr">
        <is>
          <t>BU Rare Diseases</t>
        </is>
      </c>
      <c r="G39" s="71" t="inlineStr">
        <is>
          <t>Satellite Symposium</t>
        </is>
      </c>
      <c r="H39" s="157" t="n">
        <v>45833</v>
      </c>
      <c r="I39" s="73" t="n">
        <v>260123.39</v>
      </c>
      <c r="J39" s="73" t="n">
        <v>255149.89</v>
      </c>
      <c r="K39" s="73" t="n">
        <v>248600.32</v>
      </c>
      <c r="L39" s="73" t="n">
        <v>259298.98</v>
      </c>
      <c r="M39" s="73">
        <f>L39</f>
        <v/>
      </c>
      <c r="N39" s="73" t="n">
        <v>172708.47</v>
      </c>
      <c r="O39" s="73" t="n">
        <v>149572.77</v>
      </c>
      <c r="P39" s="73">
        <f>M39-N39</f>
        <v/>
      </c>
      <c r="Q39" s="158">
        <f>J39-M39</f>
        <v/>
      </c>
      <c r="R39" s="161">
        <f>IF(J39=0,0,Q39/J39)</f>
        <v/>
      </c>
      <c r="S39" s="71" t="inlineStr">
        <is>
          <t>FV2</t>
        </is>
      </c>
      <c r="T39" s="69" t="inlineStr">
        <is>
          <t>On Track</t>
        </is>
      </c>
      <c r="U39" s="157" t="n">
        <v>45749</v>
      </c>
      <c r="V39" s="70" t="inlineStr">
        <is>
          <t>Isabel Ferreira</t>
        </is>
      </c>
    </row>
    <row r="40" ht="18" customHeight="1">
      <c r="A40" s="62" t="inlineStr">
        <is>
          <t>EVT-2025-039</t>
        </is>
      </c>
      <c r="B40" s="63" t="inlineStr">
        <is>
          <t>Rarzolene Advisory Board Athens May 2025</t>
        </is>
      </c>
      <c r="C40" s="64" t="inlineStr">
        <is>
          <t>CC-6023</t>
        </is>
      </c>
      <c r="D40" s="64" t="inlineStr">
        <is>
          <t>GL-6312</t>
        </is>
      </c>
      <c r="E40" s="64" t="inlineStr">
        <is>
          <t>Rare Diseases</t>
        </is>
      </c>
      <c r="F40" s="64" t="inlineStr">
        <is>
          <t>BU Rare Diseases</t>
        </is>
      </c>
      <c r="G40" s="64" t="inlineStr">
        <is>
          <t>Advisory Board</t>
        </is>
      </c>
      <c r="H40" s="154" t="n">
        <v>45799</v>
      </c>
      <c r="I40" s="66" t="n">
        <v>323999.99</v>
      </c>
      <c r="J40" s="66" t="n">
        <v>356181.71</v>
      </c>
      <c r="K40" s="66" t="n">
        <v>357976.46</v>
      </c>
      <c r="L40" s="66" t="n">
        <v>361090.55</v>
      </c>
      <c r="M40" s="66">
        <f>L40</f>
        <v/>
      </c>
      <c r="N40" s="66" t="n">
        <v>254274.68</v>
      </c>
      <c r="O40" s="66" t="n">
        <v>0</v>
      </c>
      <c r="P40" s="66">
        <f>M40-N40</f>
        <v/>
      </c>
      <c r="Q40" s="160">
        <f>J40-M40</f>
        <v/>
      </c>
      <c r="R40" s="156">
        <f>IF(J40=0,0,Q40/J40)</f>
        <v/>
      </c>
      <c r="S40" s="64" t="inlineStr">
        <is>
          <t>FV3</t>
        </is>
      </c>
      <c r="T40" s="69" t="inlineStr">
        <is>
          <t>On Track</t>
        </is>
      </c>
      <c r="U40" s="154" t="n">
        <v>45755</v>
      </c>
      <c r="V40" s="63" t="inlineStr">
        <is>
          <t>Carlos Navarro</t>
        </is>
      </c>
    </row>
    <row r="41" ht="18" customHeight="1">
      <c r="A41" s="62" t="inlineStr">
        <is>
          <t>EVT-2025-040</t>
        </is>
      </c>
      <c r="B41" s="70" t="inlineStr">
        <is>
          <t>Rarzolene Symposium Istanbul Dec 2025</t>
        </is>
      </c>
      <c r="C41" s="71" t="inlineStr">
        <is>
          <t>CC-4033</t>
        </is>
      </c>
      <c r="D41" s="71" t="inlineStr">
        <is>
          <t>GL-6311</t>
        </is>
      </c>
      <c r="E41" s="71" t="inlineStr">
        <is>
          <t>Rare Diseases</t>
        </is>
      </c>
      <c r="F41" s="71" t="inlineStr">
        <is>
          <t>BU Rare Diseases</t>
        </is>
      </c>
      <c r="G41" s="71" t="inlineStr">
        <is>
          <t>Symposium</t>
        </is>
      </c>
      <c r="H41" s="157" t="n">
        <v>46019</v>
      </c>
      <c r="I41" s="73" t="n">
        <v>51493.27</v>
      </c>
      <c r="J41" s="73" t="n">
        <v>48718.17</v>
      </c>
      <c r="K41" s="73" t="n">
        <v>49796.23</v>
      </c>
      <c r="L41" s="73" t="n">
        <v>50030.78</v>
      </c>
      <c r="M41" s="73">
        <f>L41</f>
        <v/>
      </c>
      <c r="N41" s="73" t="n">
        <v>41740.5</v>
      </c>
      <c r="O41" s="73" t="n">
        <v>41125.38</v>
      </c>
      <c r="P41" s="73">
        <f>M41-N41</f>
        <v/>
      </c>
      <c r="Q41" s="158">
        <f>J41-M41</f>
        <v/>
      </c>
      <c r="R41" s="161">
        <f>IF(J41=0,0,Q41/J41)</f>
        <v/>
      </c>
      <c r="S41" s="71" t="inlineStr">
        <is>
          <t>FV1</t>
        </is>
      </c>
      <c r="T41" s="69" t="inlineStr">
        <is>
          <t>On Track</t>
        </is>
      </c>
      <c r="U41" s="157" t="n">
        <v>45984</v>
      </c>
      <c r="V41" s="70" t="inlineStr">
        <is>
          <t>David O'Brien</t>
        </is>
      </c>
    </row>
    <row r="42" ht="18" customHeight="1">
      <c r="A42" s="62" t="inlineStr">
        <is>
          <t>EVT-2025-041</t>
        </is>
      </c>
      <c r="B42" s="63" t="inlineStr">
        <is>
          <t>Cognivex Congress Brussels Oct 2025</t>
        </is>
      </c>
      <c r="C42" s="64" t="inlineStr">
        <is>
          <t>CC-9595</t>
        </is>
      </c>
      <c r="D42" s="64" t="inlineStr">
        <is>
          <t>GL-6320</t>
        </is>
      </c>
      <c r="E42" s="64" t="inlineStr">
        <is>
          <t>Neurology</t>
        </is>
      </c>
      <c r="F42" s="64" t="inlineStr">
        <is>
          <t>BU Neuroscience</t>
        </is>
      </c>
      <c r="G42" s="64" t="inlineStr">
        <is>
          <t>Congress</t>
        </is>
      </c>
      <c r="H42" s="154" t="n">
        <v>45956</v>
      </c>
      <c r="I42" s="66" t="n">
        <v>35287</v>
      </c>
      <c r="J42" s="66" t="n">
        <v>33285.41</v>
      </c>
      <c r="K42" s="66" t="n">
        <v>33232.81</v>
      </c>
      <c r="L42" s="66" t="n">
        <v>34884.63</v>
      </c>
      <c r="M42" s="66">
        <f>L42</f>
        <v/>
      </c>
      <c r="N42" s="66" t="n">
        <v>32773.17</v>
      </c>
      <c r="O42" s="66" t="n">
        <v>0</v>
      </c>
      <c r="P42" s="66">
        <f>M42-N42</f>
        <v/>
      </c>
      <c r="Q42" s="160">
        <f>J42-M42</f>
        <v/>
      </c>
      <c r="R42" s="156">
        <f>IF(J42=0,0,Q42/J42)</f>
        <v/>
      </c>
      <c r="S42" s="64" t="inlineStr">
        <is>
          <t>FV1</t>
        </is>
      </c>
      <c r="T42" s="69" t="inlineStr">
        <is>
          <t>On Track</t>
        </is>
      </c>
      <c r="U42" s="154" t="n">
        <v>45909</v>
      </c>
      <c r="V42" s="63" t="inlineStr">
        <is>
          <t>Carlos Navarro</t>
        </is>
      </c>
    </row>
    <row r="43" ht="18" customHeight="1">
      <c r="A43" s="62" t="inlineStr">
        <is>
          <t>EVT-2025-042</t>
        </is>
      </c>
      <c r="B43" s="70" t="inlineStr">
        <is>
          <t>Antivex Launch Event Amsterdam Dec 2025</t>
        </is>
      </c>
      <c r="C43" s="71" t="inlineStr">
        <is>
          <t>CC-1231</t>
        </is>
      </c>
      <c r="D43" s="71" t="inlineStr">
        <is>
          <t>GL-6325</t>
        </is>
      </c>
      <c r="E43" s="71" t="inlineStr">
        <is>
          <t>Infectious Diseases</t>
        </is>
      </c>
      <c r="F43" s="71" t="inlineStr">
        <is>
          <t>BU Infectious Diseases</t>
        </is>
      </c>
      <c r="G43" s="71" t="inlineStr">
        <is>
          <t>Launch Event</t>
        </is>
      </c>
      <c r="H43" s="157" t="n">
        <v>46007</v>
      </c>
      <c r="I43" s="73" t="n">
        <v>393356.38</v>
      </c>
      <c r="J43" s="73" t="n">
        <v>376284.61</v>
      </c>
      <c r="K43" s="73" t="n">
        <v>361253.02</v>
      </c>
      <c r="L43" s="73" t="n">
        <v>358129.24</v>
      </c>
      <c r="M43" s="73">
        <f>L43</f>
        <v/>
      </c>
      <c r="N43" s="73" t="n">
        <v>215725.39</v>
      </c>
      <c r="O43" s="73" t="n">
        <v>162620.8</v>
      </c>
      <c r="P43" s="73">
        <f>M43-N43</f>
        <v/>
      </c>
      <c r="Q43" s="163">
        <f>J43-M43</f>
        <v/>
      </c>
      <c r="R43" s="161">
        <f>IF(J43=0,0,Q43/J43)</f>
        <v/>
      </c>
      <c r="S43" s="71" t="inlineStr">
        <is>
          <t>FV3</t>
        </is>
      </c>
      <c r="T43" s="69" t="inlineStr">
        <is>
          <t>On Track</t>
        </is>
      </c>
      <c r="U43" s="157" t="n">
        <v>45895</v>
      </c>
      <c r="V43" s="70" t="inlineStr">
        <is>
          <t>Carlos Navarro</t>
        </is>
      </c>
    </row>
    <row r="44" ht="18" customHeight="1">
      <c r="A44" s="62" t="inlineStr">
        <is>
          <t>EVT-2025-043</t>
        </is>
      </c>
      <c r="B44" s="63" t="inlineStr">
        <is>
          <t>Ferrozol Speaker Program Vienna Mar 2025</t>
        </is>
      </c>
      <c r="C44" s="64" t="inlineStr">
        <is>
          <t>CC-3068</t>
        </is>
      </c>
      <c r="D44" s="64" t="inlineStr">
        <is>
          <t>GL-6325</t>
        </is>
      </c>
      <c r="E44" s="64" t="inlineStr">
        <is>
          <t>Hematology</t>
        </is>
      </c>
      <c r="F44" s="64" t="inlineStr">
        <is>
          <t>BU Oncology</t>
        </is>
      </c>
      <c r="G44" s="64" t="inlineStr">
        <is>
          <t>Speaker Program</t>
        </is>
      </c>
      <c r="H44" s="154" t="n">
        <v>45741</v>
      </c>
      <c r="I44" s="66" t="n">
        <v>101989.92</v>
      </c>
      <c r="J44" s="66" t="n">
        <v>102686.21</v>
      </c>
      <c r="K44" s="66" t="n">
        <v>100368.7</v>
      </c>
      <c r="L44" s="66" t="n">
        <v>108114.4</v>
      </c>
      <c r="M44" s="66">
        <f>L44</f>
        <v/>
      </c>
      <c r="N44" s="66" t="n">
        <v>80978.92999999999</v>
      </c>
      <c r="O44" s="66" t="n">
        <v>0</v>
      </c>
      <c r="P44" s="66">
        <f>M44-N44</f>
        <v/>
      </c>
      <c r="Q44" s="160">
        <f>J44-M44</f>
        <v/>
      </c>
      <c r="R44" s="162">
        <f>IF(J44=0,0,Q44/J44)</f>
        <v/>
      </c>
      <c r="S44" s="64" t="inlineStr">
        <is>
          <t>FV1</t>
        </is>
      </c>
      <c r="T44" s="76" t="inlineStr">
        <is>
          <t>At Risk</t>
        </is>
      </c>
      <c r="U44" s="154" t="n">
        <v>45669</v>
      </c>
      <c r="V44" s="63" t="inlineStr">
        <is>
          <t>Ana García</t>
        </is>
      </c>
    </row>
    <row r="45" ht="18" customHeight="1">
      <c r="A45" s="62" t="inlineStr">
        <is>
          <t>EVT-2025-044</t>
        </is>
      </c>
      <c r="B45" s="70" t="inlineStr">
        <is>
          <t>Vaccinade KOL Meeting Zurich Mar 2025</t>
        </is>
      </c>
      <c r="C45" s="71" t="inlineStr">
        <is>
          <t>CC-8216</t>
        </is>
      </c>
      <c r="D45" s="71" t="inlineStr">
        <is>
          <t>GL-6312</t>
        </is>
      </c>
      <c r="E45" s="71" t="inlineStr">
        <is>
          <t>Infectious Diseases</t>
        </is>
      </c>
      <c r="F45" s="71" t="inlineStr">
        <is>
          <t>BU Infectious Diseases</t>
        </is>
      </c>
      <c r="G45" s="71" t="inlineStr">
        <is>
          <t>KOL Meeting</t>
        </is>
      </c>
      <c r="H45" s="157" t="n">
        <v>45739</v>
      </c>
      <c r="I45" s="73" t="n">
        <v>431417.73</v>
      </c>
      <c r="J45" s="73" t="n">
        <v>463209.87</v>
      </c>
      <c r="K45" s="73" t="n">
        <v>462787.36</v>
      </c>
      <c r="L45" s="73" t="n">
        <v>493330.94</v>
      </c>
      <c r="M45" s="73">
        <f>L45</f>
        <v/>
      </c>
      <c r="N45" s="73" t="n">
        <v>374107.11</v>
      </c>
      <c r="O45" s="73" t="n">
        <v>314556.4</v>
      </c>
      <c r="P45" s="73">
        <f>M45-N45</f>
        <v/>
      </c>
      <c r="Q45" s="158">
        <f>J45-M45</f>
        <v/>
      </c>
      <c r="R45" s="159">
        <f>IF(J45=0,0,Q45/J45)</f>
        <v/>
      </c>
      <c r="S45" s="71" t="inlineStr">
        <is>
          <t>FV2</t>
        </is>
      </c>
      <c r="T45" s="76" t="inlineStr">
        <is>
          <t>At Risk</t>
        </is>
      </c>
      <c r="U45" s="157" t="n">
        <v>45653</v>
      </c>
      <c r="V45" s="70" t="inlineStr">
        <is>
          <t>Marco Bianchi</t>
        </is>
      </c>
    </row>
    <row r="46" ht="18" customHeight="1">
      <c r="A46" s="62" t="inlineStr">
        <is>
          <t>EVT-2025-045</t>
        </is>
      </c>
      <c r="B46" s="63" t="inlineStr">
        <is>
          <t>Imunexal Symposium Brussels Jun 2025</t>
        </is>
      </c>
      <c r="C46" s="64" t="inlineStr">
        <is>
          <t>CC-2070</t>
        </is>
      </c>
      <c r="D46" s="64" t="inlineStr">
        <is>
          <t>GL-6315</t>
        </is>
      </c>
      <c r="E46" s="64" t="inlineStr">
        <is>
          <t>Immunology</t>
        </is>
      </c>
      <c r="F46" s="64" t="inlineStr">
        <is>
          <t>BU Immunology</t>
        </is>
      </c>
      <c r="G46" s="64" t="inlineStr">
        <is>
          <t>Symposium</t>
        </is>
      </c>
      <c r="H46" s="154" t="n">
        <v>45814</v>
      </c>
      <c r="I46" s="66" t="n">
        <v>108667.95</v>
      </c>
      <c r="J46" s="66" t="n">
        <v>101808.04</v>
      </c>
      <c r="K46" s="66" t="n">
        <v>97240.69</v>
      </c>
      <c r="L46" s="66" t="n">
        <v>104389.53</v>
      </c>
      <c r="M46" s="66">
        <f>L46</f>
        <v/>
      </c>
      <c r="N46" s="66" t="n">
        <v>74636.23</v>
      </c>
      <c r="O46" s="66" t="n">
        <v>0</v>
      </c>
      <c r="P46" s="66">
        <f>M46-N46</f>
        <v/>
      </c>
      <c r="Q46" s="160">
        <f>J46-M46</f>
        <v/>
      </c>
      <c r="R46" s="156">
        <f>IF(J46=0,0,Q46/J46)</f>
        <v/>
      </c>
      <c r="S46" s="64" t="inlineStr">
        <is>
          <t>FV3</t>
        </is>
      </c>
      <c r="T46" s="69" t="inlineStr">
        <is>
          <t>On Track</t>
        </is>
      </c>
      <c r="U46" s="154" t="n">
        <v>45750</v>
      </c>
      <c r="V46" s="63" t="inlineStr">
        <is>
          <t>Maria Kowalski</t>
        </is>
      </c>
    </row>
    <row r="47" ht="18" customHeight="1">
      <c r="A47" s="62" t="inlineStr">
        <is>
          <t>EVT-2025-046</t>
        </is>
      </c>
      <c r="B47" s="70" t="inlineStr">
        <is>
          <t>Vaccinade Advisory Board Zurich Jun 2025</t>
        </is>
      </c>
      <c r="C47" s="71" t="inlineStr">
        <is>
          <t>CC-5978</t>
        </is>
      </c>
      <c r="D47" s="71" t="inlineStr">
        <is>
          <t>GL-6310</t>
        </is>
      </c>
      <c r="E47" s="71" t="inlineStr">
        <is>
          <t>Infectious Diseases</t>
        </is>
      </c>
      <c r="F47" s="71" t="inlineStr">
        <is>
          <t>BU Infectious Diseases</t>
        </is>
      </c>
      <c r="G47" s="71" t="inlineStr">
        <is>
          <t>Advisory Board</t>
        </is>
      </c>
      <c r="H47" s="157" t="n">
        <v>45837</v>
      </c>
      <c r="I47" s="73" t="n">
        <v>175607.69</v>
      </c>
      <c r="J47" s="73" t="n">
        <v>175317.82</v>
      </c>
      <c r="K47" s="73" t="n">
        <v>176668.14</v>
      </c>
      <c r="L47" s="73" t="n">
        <v>184708.24</v>
      </c>
      <c r="M47" s="73">
        <f>L47</f>
        <v/>
      </c>
      <c r="N47" s="73" t="n">
        <v>104965.47</v>
      </c>
      <c r="O47" s="73" t="n">
        <v>99018.39999999999</v>
      </c>
      <c r="P47" s="73">
        <f>M47-N47</f>
        <v/>
      </c>
      <c r="Q47" s="158">
        <f>J47-M47</f>
        <v/>
      </c>
      <c r="R47" s="159">
        <f>IF(J47=0,0,Q47/J47)</f>
        <v/>
      </c>
      <c r="S47" s="71" t="inlineStr">
        <is>
          <t>FV3</t>
        </is>
      </c>
      <c r="T47" s="76" t="inlineStr">
        <is>
          <t>At Risk</t>
        </is>
      </c>
      <c r="U47" s="157" t="n">
        <v>45796</v>
      </c>
      <c r="V47" s="70" t="inlineStr">
        <is>
          <t>Ana García</t>
        </is>
      </c>
    </row>
    <row r="48" ht="18" customHeight="1">
      <c r="A48" s="62" t="inlineStr">
        <is>
          <t>EVT-2025-047</t>
        </is>
      </c>
      <c r="B48" s="63" t="inlineStr">
        <is>
          <t>Nexolimab Internal Meeting Milan Oct 2025</t>
        </is>
      </c>
      <c r="C48" s="64" t="inlineStr">
        <is>
          <t>CC-4697</t>
        </is>
      </c>
      <c r="D48" s="64" t="inlineStr">
        <is>
          <t>GL-6330</t>
        </is>
      </c>
      <c r="E48" s="64" t="inlineStr">
        <is>
          <t>Oncology</t>
        </is>
      </c>
      <c r="F48" s="64" t="inlineStr">
        <is>
          <t>BU Oncology</t>
        </is>
      </c>
      <c r="G48" s="64" t="inlineStr">
        <is>
          <t>Internal Meeting</t>
        </is>
      </c>
      <c r="H48" s="154" t="n">
        <v>45955</v>
      </c>
      <c r="I48" s="66" t="n">
        <v>225763.42</v>
      </c>
      <c r="J48" s="66" t="n">
        <v>248065.15</v>
      </c>
      <c r="K48" s="66" t="n">
        <v>238600.26</v>
      </c>
      <c r="L48" s="66" t="n">
        <v>251505.86</v>
      </c>
      <c r="M48" s="66">
        <f>L48</f>
        <v/>
      </c>
      <c r="N48" s="66" t="n">
        <v>194374.53</v>
      </c>
      <c r="O48" s="66" t="n">
        <v>0</v>
      </c>
      <c r="P48" s="66">
        <f>M48-N48</f>
        <v/>
      </c>
      <c r="Q48" s="160">
        <f>J48-M48</f>
        <v/>
      </c>
      <c r="R48" s="156">
        <f>IF(J48=0,0,Q48/J48)</f>
        <v/>
      </c>
      <c r="S48" s="64" t="inlineStr">
        <is>
          <t>FV2</t>
        </is>
      </c>
      <c r="T48" s="69" t="inlineStr">
        <is>
          <t>On Track</t>
        </is>
      </c>
      <c r="U48" s="154" t="n">
        <v>45882</v>
      </c>
      <c r="V48" s="63" t="inlineStr">
        <is>
          <t>Marco Bianchi</t>
        </is>
      </c>
    </row>
    <row r="49" ht="18" customHeight="1">
      <c r="A49" s="62" t="inlineStr">
        <is>
          <t>EVT-2025-048</t>
        </is>
      </c>
      <c r="B49" s="70" t="inlineStr">
        <is>
          <t>Vaccinade Satellite Symposium Budapest Mar 2025</t>
        </is>
      </c>
      <c r="C49" s="71" t="inlineStr">
        <is>
          <t>CC-8025</t>
        </is>
      </c>
      <c r="D49" s="71" t="inlineStr">
        <is>
          <t>GL-6312</t>
        </is>
      </c>
      <c r="E49" s="71" t="inlineStr">
        <is>
          <t>Infectious Diseases</t>
        </is>
      </c>
      <c r="F49" s="71" t="inlineStr">
        <is>
          <t>BU Infectious Diseases</t>
        </is>
      </c>
      <c r="G49" s="71" t="inlineStr">
        <is>
          <t>Satellite Symposium</t>
        </is>
      </c>
      <c r="H49" s="157" t="n">
        <v>45717</v>
      </c>
      <c r="I49" s="73" t="n">
        <v>138540.42</v>
      </c>
      <c r="J49" s="73" t="n">
        <v>139165.86</v>
      </c>
      <c r="K49" s="73" t="n">
        <v>138477.19</v>
      </c>
      <c r="L49" s="73" t="n">
        <v>141066.62</v>
      </c>
      <c r="M49" s="73">
        <f>L49</f>
        <v/>
      </c>
      <c r="N49" s="73" t="n">
        <v>125136.67</v>
      </c>
      <c r="O49" s="73" t="n">
        <v>0</v>
      </c>
      <c r="P49" s="73">
        <f>M49-N49</f>
        <v/>
      </c>
      <c r="Q49" s="158">
        <f>J49-M49</f>
        <v/>
      </c>
      <c r="R49" s="161">
        <f>IF(J49=0,0,Q49/J49)</f>
        <v/>
      </c>
      <c r="S49" s="71" t="inlineStr">
        <is>
          <t>FV1</t>
        </is>
      </c>
      <c r="T49" s="69" t="inlineStr">
        <is>
          <t>On Track</t>
        </is>
      </c>
      <c r="U49" s="157" t="n">
        <v>45673</v>
      </c>
      <c r="V49" s="70" t="inlineStr">
        <is>
          <t>Lucas Dupont</t>
        </is>
      </c>
    </row>
    <row r="50" ht="18" customHeight="1">
      <c r="A50" s="62" t="inlineStr">
        <is>
          <t>EVT-2025-049</t>
        </is>
      </c>
      <c r="B50" s="63" t="inlineStr">
        <is>
          <t>Hemaflex Webinar Istanbul Dec 2025</t>
        </is>
      </c>
      <c r="C50" s="64" t="inlineStr">
        <is>
          <t>CC-4457</t>
        </is>
      </c>
      <c r="D50" s="64" t="inlineStr">
        <is>
          <t>GL-6312</t>
        </is>
      </c>
      <c r="E50" s="64" t="inlineStr">
        <is>
          <t>Hematology</t>
        </is>
      </c>
      <c r="F50" s="64" t="inlineStr">
        <is>
          <t>BU Oncology</t>
        </is>
      </c>
      <c r="G50" s="64" t="inlineStr">
        <is>
          <t>Webinar</t>
        </is>
      </c>
      <c r="H50" s="154" t="n">
        <v>46009</v>
      </c>
      <c r="I50" s="66" t="n">
        <v>475204.13</v>
      </c>
      <c r="J50" s="66" t="n">
        <v>481726.73</v>
      </c>
      <c r="K50" s="66" t="n">
        <v>460541.85</v>
      </c>
      <c r="L50" s="66" t="n">
        <v>495364.32</v>
      </c>
      <c r="M50" s="66">
        <f>L50</f>
        <v/>
      </c>
      <c r="N50" s="66" t="n">
        <v>269802.71</v>
      </c>
      <c r="O50" s="66" t="n">
        <v>250598.46</v>
      </c>
      <c r="P50" s="66">
        <f>M50-N50</f>
        <v/>
      </c>
      <c r="Q50" s="160">
        <f>J50-M50</f>
        <v/>
      </c>
      <c r="R50" s="156">
        <f>IF(J50=0,0,Q50/J50)</f>
        <v/>
      </c>
      <c r="S50" s="64" t="inlineStr">
        <is>
          <t>FV2</t>
        </is>
      </c>
      <c r="T50" s="69" t="inlineStr">
        <is>
          <t>On Track</t>
        </is>
      </c>
      <c r="U50" s="154" t="n">
        <v>45928</v>
      </c>
      <c r="V50" s="63" t="inlineStr">
        <is>
          <t>Marco Bianchi</t>
        </is>
      </c>
    </row>
    <row r="51" ht="18" customHeight="1">
      <c r="A51" s="62" t="inlineStr">
        <is>
          <t>EVT-2025-050</t>
        </is>
      </c>
      <c r="B51" s="70" t="inlineStr">
        <is>
          <t>Infectoban Launch Event Paris Jun 2025</t>
        </is>
      </c>
      <c r="C51" s="71" t="inlineStr">
        <is>
          <t>CC-8381</t>
        </is>
      </c>
      <c r="D51" s="71" t="inlineStr">
        <is>
          <t>GL-6325</t>
        </is>
      </c>
      <c r="E51" s="71" t="inlineStr">
        <is>
          <t>Infectious Diseases</t>
        </is>
      </c>
      <c r="F51" s="71" t="inlineStr">
        <is>
          <t>BU Infectious Diseases</t>
        </is>
      </c>
      <c r="G51" s="71" t="inlineStr">
        <is>
          <t>Launch Event</t>
        </is>
      </c>
      <c r="H51" s="157" t="n">
        <v>45811</v>
      </c>
      <c r="I51" s="73" t="n">
        <v>210164.19</v>
      </c>
      <c r="J51" s="73" t="n">
        <v>216907.44</v>
      </c>
      <c r="K51" s="73" t="n">
        <v>209468.75</v>
      </c>
      <c r="L51" s="73" t="n">
        <v>207189.62</v>
      </c>
      <c r="M51" s="73">
        <f>L51</f>
        <v/>
      </c>
      <c r="N51" s="73" t="n">
        <v>110593.51</v>
      </c>
      <c r="O51" s="73" t="n">
        <v>77504.23</v>
      </c>
      <c r="P51" s="73">
        <f>M51-N51</f>
        <v/>
      </c>
      <c r="Q51" s="163">
        <f>J51-M51</f>
        <v/>
      </c>
      <c r="R51" s="161">
        <f>IF(J51=0,0,Q51/J51)</f>
        <v/>
      </c>
      <c r="S51" s="71" t="inlineStr">
        <is>
          <t>FV2</t>
        </is>
      </c>
      <c r="T51" s="69" t="inlineStr">
        <is>
          <t>On Track</t>
        </is>
      </c>
      <c r="U51" s="157" t="n">
        <v>45747</v>
      </c>
      <c r="V51" s="70" t="inlineStr">
        <is>
          <t>James Wilson</t>
        </is>
      </c>
    </row>
    <row r="53" ht="24" customHeight="1">
      <c r="A53" s="175" t="inlineStr">
        <is>
          <t>TOTALS</t>
        </is>
      </c>
      <c r="B53" s="181" t="n"/>
      <c r="C53" s="181" t="n"/>
      <c r="D53" s="181" t="n"/>
      <c r="E53" s="181" t="n"/>
      <c r="F53" s="181" t="n"/>
      <c r="G53" s="181" t="n"/>
      <c r="H53" s="181" t="n"/>
      <c r="I53" s="176">
        <f>SUM(I2:I51)</f>
        <v/>
      </c>
      <c r="J53" s="176">
        <f>SUM(J2:J51)</f>
        <v/>
      </c>
      <c r="K53" s="176">
        <f>SUM(K2:K51)</f>
        <v/>
      </c>
      <c r="L53" s="176">
        <f>SUM(L2:L51)</f>
        <v/>
      </c>
      <c r="M53" s="176">
        <f>SUM(M2:M51)</f>
        <v/>
      </c>
      <c r="N53" s="176">
        <f>SUM(N2:N51)</f>
        <v/>
      </c>
      <c r="O53" s="176">
        <f>SUM(O2:O51)</f>
        <v/>
      </c>
      <c r="P53" s="176">
        <f>SUM(P2:P51)</f>
        <v/>
      </c>
      <c r="Q53" s="176">
        <f>SUM(Q2:Q51)</f>
        <v/>
      </c>
      <c r="R53" s="177" t="n"/>
      <c r="S53" s="177" t="n"/>
      <c r="T53" s="177" t="n"/>
      <c r="U53" s="177" t="n"/>
      <c r="V53" s="177" t="n"/>
    </row>
  </sheetData>
  <autoFilter ref="A1:V51"/>
  <mergeCells count="1">
    <mergeCell ref="A53:H53"/>
  </mergeCells>
  <conditionalFormatting sqref="T2:T51">
    <cfRule type="cellIs" priority="1" operator="equal" dxfId="4">
      <formula>"At Risk"</formula>
    </cfRule>
    <cfRule type="cellIs" priority="2" operator="equal" dxfId="5">
      <formula>"On Track"</formula>
    </cfRule>
  </conditionalFormatting>
  <conditionalFormatting sqref="R2:R51">
    <cfRule type="cellIs" priority="3" operator="lessThan" dxfId="6">
      <formula>-0.05</formula>
    </cfRule>
  </conditionalFormatting>
  <printOptions gridLines="0"/>
  <pageMargins left="0.4" right="0.4" top="0.6" bottom="0.6" header="0.3" footer="0.3"/>
  <pageSetup orientation="landscape" fitToHeight="0" fitToWidth="1"/>
  <headerFooter>
    <oddHeader/>
    <oddFooter>&amp;LConfidential – Internal Use Only&amp;C&amp;A&amp;RPage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Q149"/>
  <sheetViews>
    <sheetView showGridLines="0" tabSelected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28" customWidth="1" min="4" max="4"/>
    <col width="22" customWidth="1" min="5" max="5"/>
    <col width="18" customWidth="1" min="6" max="6"/>
    <col width="16" customWidth="1" min="7" max="7"/>
    <col width="16" customWidth="1" min="8" max="8"/>
    <col width="14" customWidth="1" min="9" max="9"/>
    <col width="10" customWidth="1" min="10" max="10"/>
    <col width="16" customWidth="1" min="11" max="11"/>
    <col width="13" customWidth="1" min="12" max="12"/>
    <col width="14" customWidth="1" min="13" max="13"/>
    <col width="18" customWidth="1" min="14" max="14"/>
    <col width="13" customWidth="1" min="15" max="15"/>
    <col width="25" customWidth="1" min="16" max="16"/>
    <col width="14" customWidth="1" min="17" max="17"/>
  </cols>
  <sheetData>
    <row r="1" ht="30" customHeight="1">
      <c r="A1" s="83" t="inlineStr">
        <is>
          <t>Record ID</t>
        </is>
      </c>
      <c r="B1" s="83" t="inlineStr">
        <is>
          <t>Event ID</t>
        </is>
      </c>
      <c r="C1" s="83" t="inlineStr">
        <is>
          <t>Event Name</t>
        </is>
      </c>
      <c r="D1" s="83" t="inlineStr">
        <is>
          <t>Supplier Name</t>
        </is>
      </c>
      <c r="E1" s="83" t="inlineStr">
        <is>
          <t>Category</t>
        </is>
      </c>
      <c r="F1" s="83" t="inlineStr">
        <is>
          <t>Contract Status</t>
        </is>
      </c>
      <c r="G1" s="83" t="inlineStr">
        <is>
          <t>PO Number</t>
        </is>
      </c>
      <c r="H1" s="83" t="inlineStr">
        <is>
          <t>Invoice Number</t>
        </is>
      </c>
      <c r="I1" s="83" t="inlineStr">
        <is>
          <t>Amount (€)</t>
        </is>
      </c>
      <c r="J1" s="83" t="inlineStr">
        <is>
          <t>Currency</t>
        </is>
      </c>
      <c r="K1" s="83" t="inlineStr">
        <is>
          <t>Payment Status</t>
        </is>
      </c>
      <c r="L1" s="83" t="inlineStr">
        <is>
          <t>Due Date</t>
        </is>
      </c>
      <c r="M1" s="83" t="inlineStr">
        <is>
          <t>Risk Indicator</t>
        </is>
      </c>
      <c r="N1" s="83" t="inlineStr">
        <is>
          <t>Payment Terms (Days)</t>
        </is>
      </c>
      <c r="O1" s="83" t="inlineStr">
        <is>
          <t>Overdue Days</t>
        </is>
      </c>
      <c r="P1" s="83" t="inlineStr">
        <is>
          <t>Notes</t>
        </is>
      </c>
      <c r="Q1" s="83" t="inlineStr">
        <is>
          <t>Last Updated</t>
        </is>
      </c>
    </row>
    <row r="2" ht="18" customHeight="1">
      <c r="A2" s="84" t="inlineStr">
        <is>
          <t>SUP-0001</t>
        </is>
      </c>
      <c r="B2" s="85" t="inlineStr">
        <is>
          <t>EVT-2025-001</t>
        </is>
      </c>
      <c r="C2" s="86" t="inlineStr">
        <is>
          <t>Cordavex Internal Meeting Vienna Apr 2025</t>
        </is>
      </c>
      <c r="D2" s="86" t="inlineStr">
        <is>
          <t>Translingua Pro</t>
        </is>
      </c>
      <c r="E2" s="86" t="inlineStr">
        <is>
          <t>Translation &amp; Interpretation</t>
        </is>
      </c>
      <c r="F2" s="85" t="inlineStr">
        <is>
          <t>Contract Sent</t>
        </is>
      </c>
      <c r="G2" s="85" t="inlineStr">
        <is>
          <t>PO-2025-1001</t>
        </is>
      </c>
      <c r="H2" s="85" t="inlineStr">
        <is>
          <t>INV-01001</t>
        </is>
      </c>
      <c r="I2" s="87" t="n">
        <v>56833.03</v>
      </c>
      <c r="J2" s="85" t="inlineStr">
        <is>
          <t>EUR</t>
        </is>
      </c>
      <c r="K2" s="88" t="inlineStr">
        <is>
          <t>Approved</t>
        </is>
      </c>
      <c r="L2" s="164" t="n">
        <v>45751</v>
      </c>
      <c r="M2" s="69" t="inlineStr">
        <is>
          <t>Low</t>
        </is>
      </c>
      <c r="N2" s="178" t="n">
        <v>90</v>
      </c>
      <c r="O2" s="90" t="n">
        <v>0</v>
      </c>
      <c r="P2" s="86" t="inlineStr"/>
      <c r="Q2" s="164" t="n">
        <v>46175</v>
      </c>
    </row>
    <row r="3" ht="18" customHeight="1">
      <c r="A3" s="84" t="inlineStr">
        <is>
          <t>SUP-0002</t>
        </is>
      </c>
      <c r="B3" s="71" t="inlineStr">
        <is>
          <t>EVT-2025-001</t>
        </is>
      </c>
      <c r="C3" s="70" t="inlineStr">
        <is>
          <t>Cordavex Internal Meeting Vienna Apr 2025</t>
        </is>
      </c>
      <c r="D3" s="70" t="inlineStr">
        <is>
          <t>Catering Excellence</t>
        </is>
      </c>
      <c r="E3" s="70" t="inlineStr">
        <is>
          <t>F&amp;B / Catering</t>
        </is>
      </c>
      <c r="F3" s="71" t="inlineStr">
        <is>
          <t>Signed</t>
        </is>
      </c>
      <c r="G3" s="71" t="inlineStr">
        <is>
          <t>PO-2025-1002</t>
        </is>
      </c>
      <c r="H3" s="71" t="inlineStr">
        <is>
          <t>INV-01002</t>
        </is>
      </c>
      <c r="I3" s="73" t="n">
        <v>50754.52</v>
      </c>
      <c r="J3" s="71" t="inlineStr">
        <is>
          <t>EUR</t>
        </is>
      </c>
      <c r="K3" s="88" t="inlineStr">
        <is>
          <t>Approved</t>
        </is>
      </c>
      <c r="L3" s="157" t="n">
        <v>45744</v>
      </c>
      <c r="M3" s="76" t="inlineStr">
        <is>
          <t>Medium</t>
        </is>
      </c>
      <c r="N3" s="179" t="n">
        <v>90</v>
      </c>
      <c r="O3" s="91" t="n">
        <v>0</v>
      </c>
      <c r="P3" s="70" t="inlineStr"/>
      <c r="Q3" s="157" t="n">
        <v>46172</v>
      </c>
    </row>
    <row r="4" ht="18" customHeight="1">
      <c r="A4" s="84" t="inlineStr">
        <is>
          <t>SUP-0003</t>
        </is>
      </c>
      <c r="B4" s="85" t="inlineStr">
        <is>
          <t>EVT-2025-001</t>
        </is>
      </c>
      <c r="C4" s="86" t="inlineStr">
        <is>
          <t>Cordavex Internal Meeting Vienna Apr 2025</t>
        </is>
      </c>
      <c r="D4" s="86" t="inlineStr">
        <is>
          <t>AVIAWORLD Travel</t>
        </is>
      </c>
      <c r="E4" s="86" t="inlineStr">
        <is>
          <t>Travel &amp; Air</t>
        </is>
      </c>
      <c r="F4" s="85" t="inlineStr">
        <is>
          <t>Negotiating</t>
        </is>
      </c>
      <c r="G4" s="85" t="inlineStr">
        <is>
          <t>PO-2025-1003</t>
        </is>
      </c>
      <c r="H4" s="85" t="inlineStr"/>
      <c r="I4" s="87" t="n">
        <v>19535.14</v>
      </c>
      <c r="J4" s="85" t="inlineStr">
        <is>
          <t>EUR</t>
        </is>
      </c>
      <c r="K4" s="92" t="inlineStr">
        <is>
          <t>Cancelled</t>
        </is>
      </c>
      <c r="L4" s="164" t="n">
        <v>45761</v>
      </c>
      <c r="M4" s="93" t="inlineStr">
        <is>
          <t>High</t>
        </is>
      </c>
      <c r="N4" s="178" t="n">
        <v>90</v>
      </c>
      <c r="O4" s="90" t="n">
        <v>0</v>
      </c>
      <c r="P4" s="86" t="inlineStr"/>
      <c r="Q4" s="164" t="n">
        <v>46177</v>
      </c>
    </row>
    <row r="5" ht="18" customHeight="1">
      <c r="A5" s="84" t="inlineStr">
        <is>
          <t>SUP-0004</t>
        </is>
      </c>
      <c r="B5" s="71" t="inlineStr">
        <is>
          <t>EVT-2025-001</t>
        </is>
      </c>
      <c r="C5" s="70" t="inlineStr">
        <is>
          <t>Cordavex Internal Meeting Vienna Apr 2025</t>
        </is>
      </c>
      <c r="D5" s="70" t="inlineStr">
        <is>
          <t>Prime Hospitality Group</t>
        </is>
      </c>
      <c r="E5" s="70" t="inlineStr">
        <is>
          <t>Hotel &amp; Venue</t>
        </is>
      </c>
      <c r="F5" s="71" t="inlineStr">
        <is>
          <t>Active</t>
        </is>
      </c>
      <c r="G5" s="71" t="inlineStr">
        <is>
          <t>PO-2025-1004</t>
        </is>
      </c>
      <c r="H5" s="71" t="inlineStr"/>
      <c r="I5" s="73" t="n">
        <v>14941.98</v>
      </c>
      <c r="J5" s="71" t="inlineStr">
        <is>
          <t>EUR</t>
        </is>
      </c>
      <c r="K5" s="92" t="inlineStr">
        <is>
          <t>Cancelled</t>
        </is>
      </c>
      <c r="L5" s="157" t="n">
        <v>45756</v>
      </c>
      <c r="M5" s="69" t="inlineStr">
        <is>
          <t>Low</t>
        </is>
      </c>
      <c r="N5" s="179" t="n">
        <v>45</v>
      </c>
      <c r="O5" s="91" t="n">
        <v>0</v>
      </c>
      <c r="P5" s="70" t="inlineStr"/>
      <c r="Q5" s="157" t="n">
        <v>46194</v>
      </c>
    </row>
    <row r="6" ht="18" customHeight="1">
      <c r="A6" s="84" t="inlineStr">
        <is>
          <t>SUP-0005</t>
        </is>
      </c>
      <c r="B6" s="85" t="inlineStr">
        <is>
          <t>EVT-2025-001</t>
        </is>
      </c>
      <c r="C6" s="86" t="inlineStr">
        <is>
          <t>Cordavex Internal Meeting Vienna Apr 2025</t>
        </is>
      </c>
      <c r="D6" s="86" t="inlineStr">
        <is>
          <t>TechEvent Systems</t>
        </is>
      </c>
      <c r="E6" s="86" t="inlineStr">
        <is>
          <t>Registration &amp; Tech</t>
        </is>
      </c>
      <c r="F6" s="85" t="inlineStr">
        <is>
          <t>Signed</t>
        </is>
      </c>
      <c r="G6" s="85" t="inlineStr">
        <is>
          <t>PO-2025-1005</t>
        </is>
      </c>
      <c r="H6" s="85" t="inlineStr">
        <is>
          <t>INV-01005</t>
        </is>
      </c>
      <c r="I6" s="87" t="n">
        <v>36253.97</v>
      </c>
      <c r="J6" s="85" t="inlineStr">
        <is>
          <t>EUR</t>
        </is>
      </c>
      <c r="K6" s="76" t="inlineStr">
        <is>
          <t>Disputed</t>
        </is>
      </c>
      <c r="L6" s="164" t="n">
        <v>45751</v>
      </c>
      <c r="M6" s="76" t="inlineStr">
        <is>
          <t>Medium</t>
        </is>
      </c>
      <c r="N6" s="178" t="n">
        <v>45</v>
      </c>
      <c r="O6" s="90" t="n">
        <v>0</v>
      </c>
      <c r="P6" s="86" t="inlineStr"/>
      <c r="Q6" s="164" t="n">
        <v>46175</v>
      </c>
    </row>
    <row r="7" ht="18" customHeight="1">
      <c r="A7" s="84" t="inlineStr">
        <is>
          <t>SUP-0006</t>
        </is>
      </c>
      <c r="B7" s="71" t="inlineStr">
        <is>
          <t>EVT-2025-002</t>
        </is>
      </c>
      <c r="C7" s="70" t="inlineStr">
        <is>
          <t>Eplitazan Investigator Meeting Barcelona Jan 2025</t>
        </is>
      </c>
      <c r="D7" s="70" t="inlineStr">
        <is>
          <t>PrintMed Solutions</t>
        </is>
      </c>
      <c r="E7" s="70" t="inlineStr">
        <is>
          <t>Print &amp; Production</t>
        </is>
      </c>
      <c r="F7" s="71" t="inlineStr">
        <is>
          <t>Contract Sent</t>
        </is>
      </c>
      <c r="G7" s="71" t="inlineStr">
        <is>
          <t>PO-2025-1006</t>
        </is>
      </c>
      <c r="H7" s="71" t="inlineStr">
        <is>
          <t>INV-01006</t>
        </is>
      </c>
      <c r="I7" s="73" t="n">
        <v>48646.86</v>
      </c>
      <c r="J7" s="71" t="inlineStr">
        <is>
          <t>EUR</t>
        </is>
      </c>
      <c r="K7" s="93" t="inlineStr">
        <is>
          <t>Overdue</t>
        </is>
      </c>
      <c r="L7" s="157" t="n">
        <v>45653</v>
      </c>
      <c r="M7" s="76" t="inlineStr">
        <is>
          <t>Medium</t>
        </is>
      </c>
      <c r="N7" s="179" t="n">
        <v>30</v>
      </c>
      <c r="O7" s="94" t="n">
        <v>544</v>
      </c>
      <c r="P7" s="70" t="inlineStr"/>
      <c r="Q7" s="157" t="n">
        <v>46167</v>
      </c>
    </row>
    <row r="8" ht="18" customHeight="1">
      <c r="A8" s="84" t="inlineStr">
        <is>
          <t>SUP-0007</t>
        </is>
      </c>
      <c r="B8" s="85" t="inlineStr">
        <is>
          <t>EVT-2025-002</t>
        </is>
      </c>
      <c r="C8" s="86" t="inlineStr">
        <is>
          <t>Eplitazan Investigator Meeting Barcelona Jan 2025</t>
        </is>
      </c>
      <c r="D8" s="86" t="inlineStr">
        <is>
          <t>HealthMarketing Group</t>
        </is>
      </c>
      <c r="E8" s="86" t="inlineStr">
        <is>
          <t>Marketing Agency</t>
        </is>
      </c>
      <c r="F8" s="85" t="inlineStr">
        <is>
          <t>Active</t>
        </is>
      </c>
      <c r="G8" s="85" t="inlineStr">
        <is>
          <t>PO-2025-1007</t>
        </is>
      </c>
      <c r="H8" s="85" t="inlineStr"/>
      <c r="I8" s="87" t="n">
        <v>19856.1</v>
      </c>
      <c r="J8" s="85" t="inlineStr">
        <is>
          <t>EUR</t>
        </is>
      </c>
      <c r="K8" s="93" t="inlineStr">
        <is>
          <t>Overdue</t>
        </is>
      </c>
      <c r="L8" s="164" t="n">
        <v>45645</v>
      </c>
      <c r="M8" s="76" t="inlineStr">
        <is>
          <t>Medium</t>
        </is>
      </c>
      <c r="N8" s="178" t="n">
        <v>45</v>
      </c>
      <c r="O8" s="94" t="n">
        <v>552</v>
      </c>
      <c r="P8" s="86" t="inlineStr"/>
      <c r="Q8" s="164" t="n">
        <v>46194</v>
      </c>
    </row>
    <row r="9" ht="18" customHeight="1">
      <c r="A9" s="84" t="inlineStr">
        <is>
          <t>SUP-0008</t>
        </is>
      </c>
      <c r="B9" s="71" t="inlineStr">
        <is>
          <t>EVT-2025-002</t>
        </is>
      </c>
      <c r="C9" s="70" t="inlineStr">
        <is>
          <t>Eplitazan Investigator Meeting Barcelona Jan 2025</t>
        </is>
      </c>
      <c r="D9" s="70" t="inlineStr">
        <is>
          <t>Translingua Pro</t>
        </is>
      </c>
      <c r="E9" s="70" t="inlineStr">
        <is>
          <t>Translation &amp; Interpretation</t>
        </is>
      </c>
      <c r="F9" s="71" t="inlineStr">
        <is>
          <t>RFP Sent</t>
        </is>
      </c>
      <c r="G9" s="71" t="inlineStr">
        <is>
          <t>PO-2025-1008</t>
        </is>
      </c>
      <c r="H9" s="71" t="inlineStr">
        <is>
          <t>INV-01008</t>
        </is>
      </c>
      <c r="I9" s="73" t="n">
        <v>79966.64999999999</v>
      </c>
      <c r="J9" s="71" t="inlineStr">
        <is>
          <t>EUR</t>
        </is>
      </c>
      <c r="K9" s="93" t="inlineStr">
        <is>
          <t>Overdue</t>
        </is>
      </c>
      <c r="L9" s="157" t="n">
        <v>45645</v>
      </c>
      <c r="M9" s="76" t="inlineStr">
        <is>
          <t>Medium</t>
        </is>
      </c>
      <c r="N9" s="179" t="n">
        <v>90</v>
      </c>
      <c r="O9" s="94" t="n">
        <v>552</v>
      </c>
      <c r="P9" s="70" t="inlineStr"/>
      <c r="Q9" s="157" t="n">
        <v>46168</v>
      </c>
    </row>
    <row r="10" ht="18" customHeight="1">
      <c r="A10" s="84" t="inlineStr">
        <is>
          <t>SUP-0009</t>
        </is>
      </c>
      <c r="B10" s="85" t="inlineStr">
        <is>
          <t>EVT-2025-003</t>
        </is>
      </c>
      <c r="C10" s="86" t="inlineStr">
        <is>
          <t>Influximab Webinar Athens Apr 2025</t>
        </is>
      </c>
      <c r="D10" s="86" t="inlineStr">
        <is>
          <t>Translingua Pro</t>
        </is>
      </c>
      <c r="E10" s="86" t="inlineStr">
        <is>
          <t>Translation &amp; Interpretation</t>
        </is>
      </c>
      <c r="F10" s="85" t="inlineStr">
        <is>
          <t>Closed</t>
        </is>
      </c>
      <c r="G10" s="85" t="inlineStr">
        <is>
          <t>PO-2025-1009</t>
        </is>
      </c>
      <c r="H10" s="85" t="inlineStr">
        <is>
          <t>INV-01009</t>
        </is>
      </c>
      <c r="I10" s="87" t="n">
        <v>73453.67999999999</v>
      </c>
      <c r="J10" s="85" t="inlineStr">
        <is>
          <t>EUR</t>
        </is>
      </c>
      <c r="K10" s="69" t="inlineStr">
        <is>
          <t>Paid</t>
        </is>
      </c>
      <c r="L10" s="164" t="n">
        <v>45758</v>
      </c>
      <c r="M10" s="93" t="inlineStr">
        <is>
          <t>High</t>
        </is>
      </c>
      <c r="N10" s="178" t="n">
        <v>90</v>
      </c>
      <c r="O10" s="90" t="n">
        <v>0</v>
      </c>
      <c r="P10" s="86" t="inlineStr"/>
      <c r="Q10" s="164" t="n">
        <v>46172</v>
      </c>
    </row>
    <row r="11" ht="18" customHeight="1">
      <c r="A11" s="84" t="inlineStr">
        <is>
          <t>SUP-0010</t>
        </is>
      </c>
      <c r="B11" s="71" t="inlineStr">
        <is>
          <t>EVT-2025-003</t>
        </is>
      </c>
      <c r="C11" s="70" t="inlineStr">
        <is>
          <t>Influximab Webinar Athens Apr 2025</t>
        </is>
      </c>
      <c r="D11" s="70" t="inlineStr">
        <is>
          <t>PrintMed Solutions</t>
        </is>
      </c>
      <c r="E11" s="70" t="inlineStr">
        <is>
          <t>Print &amp; Production</t>
        </is>
      </c>
      <c r="F11" s="71" t="inlineStr">
        <is>
          <t>Contract Sent</t>
        </is>
      </c>
      <c r="G11" s="71" t="inlineStr">
        <is>
          <t>PO-2025-1010</t>
        </is>
      </c>
      <c r="H11" s="71" t="inlineStr">
        <is>
          <t>INV-01010</t>
        </is>
      </c>
      <c r="I11" s="73" t="n">
        <v>77586.31</v>
      </c>
      <c r="J11" s="71" t="inlineStr">
        <is>
          <t>EUR</t>
        </is>
      </c>
      <c r="K11" s="95" t="inlineStr">
        <is>
          <t>Invoiced</t>
        </is>
      </c>
      <c r="L11" s="157" t="n">
        <v>45748</v>
      </c>
      <c r="M11" s="69" t="inlineStr">
        <is>
          <t>Low</t>
        </is>
      </c>
      <c r="N11" s="179" t="n">
        <v>90</v>
      </c>
      <c r="O11" s="91" t="n">
        <v>0</v>
      </c>
      <c r="P11" s="70" t="inlineStr"/>
      <c r="Q11" s="157" t="n">
        <v>46192</v>
      </c>
    </row>
    <row r="12" ht="18" customHeight="1">
      <c r="A12" s="84" t="inlineStr">
        <is>
          <t>SUP-0011</t>
        </is>
      </c>
      <c r="B12" s="85" t="inlineStr">
        <is>
          <t>EVT-2025-004</t>
        </is>
      </c>
      <c r="C12" s="86" t="inlineStr">
        <is>
          <t>Cognivex Investigator Meeting Stockholm May 2025</t>
        </is>
      </c>
      <c r="D12" s="86" t="inlineStr">
        <is>
          <t>TechEvent Systems</t>
        </is>
      </c>
      <c r="E12" s="86" t="inlineStr">
        <is>
          <t>Registration &amp; Tech</t>
        </is>
      </c>
      <c r="F12" s="85" t="inlineStr">
        <is>
          <t>Terminated</t>
        </is>
      </c>
      <c r="G12" s="85" t="inlineStr">
        <is>
          <t>PO-2025-1011</t>
        </is>
      </c>
      <c r="H12" s="85" t="inlineStr"/>
      <c r="I12" s="87" t="n">
        <v>34108.32</v>
      </c>
      <c r="J12" s="85" t="inlineStr">
        <is>
          <t>EUR</t>
        </is>
      </c>
      <c r="K12" s="69" t="inlineStr">
        <is>
          <t>Paid</t>
        </is>
      </c>
      <c r="L12" s="164" t="n">
        <v>45778</v>
      </c>
      <c r="M12" s="69" t="inlineStr">
        <is>
          <t>Low</t>
        </is>
      </c>
      <c r="N12" s="178" t="n">
        <v>90</v>
      </c>
      <c r="O12" s="90" t="n">
        <v>0</v>
      </c>
      <c r="P12" s="86" t="inlineStr"/>
      <c r="Q12" s="164" t="n">
        <v>46173</v>
      </c>
    </row>
    <row r="13" ht="18" customHeight="1">
      <c r="A13" s="84" t="inlineStr">
        <is>
          <t>SUP-0012</t>
        </is>
      </c>
      <c r="B13" s="71" t="inlineStr">
        <is>
          <t>EVT-2025-005</t>
        </is>
      </c>
      <c r="C13" s="70" t="inlineStr">
        <is>
          <t>Hemaflex Launch Event Brussels Nov 2025</t>
        </is>
      </c>
      <c r="D13" s="70" t="inlineStr">
        <is>
          <t>AVIAWORLD Travel</t>
        </is>
      </c>
      <c r="E13" s="70" t="inlineStr">
        <is>
          <t>Travel &amp; Air</t>
        </is>
      </c>
      <c r="F13" s="71" t="inlineStr">
        <is>
          <t>RFP Sent</t>
        </is>
      </c>
      <c r="G13" s="71" t="inlineStr">
        <is>
          <t>PO-2025-1012</t>
        </is>
      </c>
      <c r="H13" s="71" t="inlineStr">
        <is>
          <t>INV-01012</t>
        </is>
      </c>
      <c r="I13" s="73" t="n">
        <v>77674.41</v>
      </c>
      <c r="J13" s="71" t="inlineStr">
        <is>
          <t>EUR</t>
        </is>
      </c>
      <c r="K13" s="92" t="inlineStr">
        <is>
          <t>Cancelled</t>
        </is>
      </c>
      <c r="L13" s="157" t="n">
        <v>45948</v>
      </c>
      <c r="M13" s="76" t="inlineStr">
        <is>
          <t>Medium</t>
        </is>
      </c>
      <c r="N13" s="179" t="n">
        <v>60</v>
      </c>
      <c r="O13" s="91" t="n">
        <v>0</v>
      </c>
      <c r="P13" s="70" t="inlineStr"/>
      <c r="Q13" s="157" t="n">
        <v>46178</v>
      </c>
    </row>
    <row r="14" ht="18" customHeight="1">
      <c r="A14" s="84" t="inlineStr">
        <is>
          <t>SUP-0013</t>
        </is>
      </c>
      <c r="B14" s="85" t="inlineStr">
        <is>
          <t>EVT-2025-005</t>
        </is>
      </c>
      <c r="C14" s="86" t="inlineStr">
        <is>
          <t>Hemaflex Launch Event Brussels Nov 2025</t>
        </is>
      </c>
      <c r="D14" s="86" t="inlineStr">
        <is>
          <t>Translingua Pro</t>
        </is>
      </c>
      <c r="E14" s="86" t="inlineStr">
        <is>
          <t>Translation &amp; Interpretation</t>
        </is>
      </c>
      <c r="F14" s="85" t="inlineStr">
        <is>
          <t>Contract Sent</t>
        </is>
      </c>
      <c r="G14" s="85" t="inlineStr">
        <is>
          <t>PO-2025-1013</t>
        </is>
      </c>
      <c r="H14" s="85" t="inlineStr">
        <is>
          <t>INV-01013</t>
        </is>
      </c>
      <c r="I14" s="87" t="n">
        <v>44322.3</v>
      </c>
      <c r="J14" s="85" t="inlineStr">
        <is>
          <t>EUR</t>
        </is>
      </c>
      <c r="K14" s="93" t="inlineStr">
        <is>
          <t>Overdue</t>
        </is>
      </c>
      <c r="L14" s="164" t="n">
        <v>45947</v>
      </c>
      <c r="M14" s="69" t="inlineStr">
        <is>
          <t>Low</t>
        </is>
      </c>
      <c r="N14" s="178" t="n">
        <v>30</v>
      </c>
      <c r="O14" s="94" t="n">
        <v>250</v>
      </c>
      <c r="P14" s="86" t="inlineStr"/>
      <c r="Q14" s="164" t="n">
        <v>46170</v>
      </c>
    </row>
    <row r="15" ht="18" customHeight="1">
      <c r="A15" s="84" t="inlineStr">
        <is>
          <t>SUP-0014</t>
        </is>
      </c>
      <c r="B15" s="71" t="inlineStr">
        <is>
          <t>EVT-2025-005</t>
        </is>
      </c>
      <c r="C15" s="70" t="inlineStr">
        <is>
          <t>Hemaflex Launch Event Brussels Nov 2025</t>
        </is>
      </c>
      <c r="D15" s="70" t="inlineStr">
        <is>
          <t>InterCongress PCO</t>
        </is>
      </c>
      <c r="E15" s="70" t="inlineStr">
        <is>
          <t>PCO / Event Agency</t>
        </is>
      </c>
      <c r="F15" s="71" t="inlineStr">
        <is>
          <t>Contract Sent</t>
        </is>
      </c>
      <c r="G15" s="71" t="inlineStr">
        <is>
          <t>PO-2025-1014</t>
        </is>
      </c>
      <c r="H15" s="71" t="inlineStr">
        <is>
          <t>INV-01014</t>
        </is>
      </c>
      <c r="I15" s="73" t="n">
        <v>40882.46</v>
      </c>
      <c r="J15" s="71" t="inlineStr">
        <is>
          <t>EUR</t>
        </is>
      </c>
      <c r="K15" s="88" t="inlineStr">
        <is>
          <t>Approved</t>
        </is>
      </c>
      <c r="L15" s="157" t="n">
        <v>45946</v>
      </c>
      <c r="M15" s="76" t="inlineStr">
        <is>
          <t>Medium</t>
        </is>
      </c>
      <c r="N15" s="179" t="n">
        <v>45</v>
      </c>
      <c r="O15" s="91" t="n">
        <v>0</v>
      </c>
      <c r="P15" s="70" t="inlineStr"/>
      <c r="Q15" s="157" t="n">
        <v>46182</v>
      </c>
    </row>
    <row r="16" ht="18" customHeight="1">
      <c r="A16" s="84" t="inlineStr">
        <is>
          <t>SUP-0015</t>
        </is>
      </c>
      <c r="B16" s="85" t="inlineStr">
        <is>
          <t>EVT-2025-005</t>
        </is>
      </c>
      <c r="C16" s="86" t="inlineStr">
        <is>
          <t>Hemaflex Launch Event Brussels Nov 2025</t>
        </is>
      </c>
      <c r="D16" s="86" t="inlineStr">
        <is>
          <t>PharmaLogix</t>
        </is>
      </c>
      <c r="E16" s="86" t="inlineStr">
        <is>
          <t>Logistics &amp; Transport</t>
        </is>
      </c>
      <c r="F16" s="85" t="inlineStr">
        <is>
          <t>RFP Sent</t>
        </is>
      </c>
      <c r="G16" s="85" t="inlineStr">
        <is>
          <t>PO-2025-1015</t>
        </is>
      </c>
      <c r="H16" s="85" t="inlineStr">
        <is>
          <t>INV-01015</t>
        </is>
      </c>
      <c r="I16" s="87" t="n">
        <v>74358.48</v>
      </c>
      <c r="J16" s="85" t="inlineStr">
        <is>
          <t>EUR</t>
        </is>
      </c>
      <c r="K16" s="69" t="inlineStr">
        <is>
          <t>Paid</t>
        </is>
      </c>
      <c r="L16" s="164" t="n">
        <v>45946</v>
      </c>
      <c r="M16" s="76" t="inlineStr">
        <is>
          <t>Medium</t>
        </is>
      </c>
      <c r="N16" s="178" t="n">
        <v>90</v>
      </c>
      <c r="O16" s="90" t="n">
        <v>0</v>
      </c>
      <c r="P16" s="86" t="inlineStr"/>
      <c r="Q16" s="164" t="n">
        <v>46194</v>
      </c>
    </row>
    <row r="17" ht="18" customHeight="1">
      <c r="A17" s="84" t="inlineStr">
        <is>
          <t>SUP-0016</t>
        </is>
      </c>
      <c r="B17" s="71" t="inlineStr">
        <is>
          <t>EVT-2025-005</t>
        </is>
      </c>
      <c r="C17" s="70" t="inlineStr">
        <is>
          <t>Hemaflex Launch Event Brussels Nov 2025</t>
        </is>
      </c>
      <c r="D17" s="70" t="inlineStr">
        <is>
          <t>Catering Excellence</t>
        </is>
      </c>
      <c r="E17" s="70" t="inlineStr">
        <is>
          <t>F&amp;B / Catering</t>
        </is>
      </c>
      <c r="F17" s="71" t="inlineStr">
        <is>
          <t>Active</t>
        </is>
      </c>
      <c r="G17" s="71" t="inlineStr">
        <is>
          <t>PO-2025-1016</t>
        </is>
      </c>
      <c r="H17" s="71" t="inlineStr"/>
      <c r="I17" s="73" t="n">
        <v>51141.74</v>
      </c>
      <c r="J17" s="71" t="inlineStr">
        <is>
          <t>EUR</t>
        </is>
      </c>
      <c r="K17" s="95" t="inlineStr">
        <is>
          <t>Invoiced</t>
        </is>
      </c>
      <c r="L17" s="157" t="n">
        <v>45953</v>
      </c>
      <c r="M17" s="76" t="inlineStr">
        <is>
          <t>Medium</t>
        </is>
      </c>
      <c r="N17" s="179" t="n">
        <v>90</v>
      </c>
      <c r="O17" s="91" t="n">
        <v>0</v>
      </c>
      <c r="P17" s="70" t="inlineStr"/>
      <c r="Q17" s="157" t="n">
        <v>46183</v>
      </c>
    </row>
    <row r="18" ht="18" customHeight="1">
      <c r="A18" s="84" t="inlineStr">
        <is>
          <t>SUP-0017</t>
        </is>
      </c>
      <c r="B18" s="85" t="inlineStr">
        <is>
          <t>EVT-2025-006</t>
        </is>
      </c>
      <c r="C18" s="86" t="inlineStr">
        <is>
          <t>Miotrex Advisory Board Istanbul May 2025</t>
        </is>
      </c>
      <c r="D18" s="86" t="inlineStr">
        <is>
          <t>PrintMed Solutions</t>
        </is>
      </c>
      <c r="E18" s="86" t="inlineStr">
        <is>
          <t>Print &amp; Production</t>
        </is>
      </c>
      <c r="F18" s="85" t="inlineStr">
        <is>
          <t>Closed</t>
        </is>
      </c>
      <c r="G18" s="85" t="inlineStr">
        <is>
          <t>PO-2025-1017</t>
        </is>
      </c>
      <c r="H18" s="85" t="inlineStr">
        <is>
          <t>INV-01017</t>
        </is>
      </c>
      <c r="I18" s="87" t="n">
        <v>19526.65</v>
      </c>
      <c r="J18" s="85" t="inlineStr">
        <is>
          <t>EUR</t>
        </is>
      </c>
      <c r="K18" s="96" t="inlineStr">
        <is>
          <t>Pending</t>
        </is>
      </c>
      <c r="L18" s="164" t="n">
        <v>45798</v>
      </c>
      <c r="M18" s="69" t="inlineStr">
        <is>
          <t>Low</t>
        </is>
      </c>
      <c r="N18" s="178" t="n">
        <v>30</v>
      </c>
      <c r="O18" s="90" t="n">
        <v>0</v>
      </c>
      <c r="P18" s="86" t="inlineStr"/>
      <c r="Q18" s="164" t="n">
        <v>46195</v>
      </c>
    </row>
    <row r="19" ht="18" customHeight="1">
      <c r="A19" s="84" t="inlineStr">
        <is>
          <t>SUP-0018</t>
        </is>
      </c>
      <c r="B19" s="71" t="inlineStr">
        <is>
          <t>EVT-2025-007</t>
        </is>
      </c>
      <c r="C19" s="70" t="inlineStr">
        <is>
          <t>Bioflair Advisory Board Vienna Feb 2025</t>
        </is>
      </c>
      <c r="D19" s="70" t="inlineStr">
        <is>
          <t>Translingua Pro</t>
        </is>
      </c>
      <c r="E19" s="70" t="inlineStr">
        <is>
          <t>Translation &amp; Interpretation</t>
        </is>
      </c>
      <c r="F19" s="71" t="inlineStr">
        <is>
          <t>Negotiating</t>
        </is>
      </c>
      <c r="G19" s="71" t="inlineStr">
        <is>
          <t>PO-2025-1018</t>
        </is>
      </c>
      <c r="H19" s="71" t="inlineStr"/>
      <c r="I19" s="73" t="n">
        <v>57022.11</v>
      </c>
      <c r="J19" s="71" t="inlineStr">
        <is>
          <t>EUR</t>
        </is>
      </c>
      <c r="K19" s="69" t="inlineStr">
        <is>
          <t>Paid</t>
        </is>
      </c>
      <c r="L19" s="157" t="n">
        <v>45689</v>
      </c>
      <c r="M19" s="76" t="inlineStr">
        <is>
          <t>Medium</t>
        </is>
      </c>
      <c r="N19" s="179" t="n">
        <v>60</v>
      </c>
      <c r="O19" s="91" t="n">
        <v>0</v>
      </c>
      <c r="P19" s="70" t="inlineStr"/>
      <c r="Q19" s="157" t="n">
        <v>46177</v>
      </c>
    </row>
    <row r="20" ht="18" customHeight="1">
      <c r="A20" s="84" t="inlineStr">
        <is>
          <t>SUP-0019</t>
        </is>
      </c>
      <c r="B20" s="85" t="inlineStr">
        <is>
          <t>EVT-2025-007</t>
        </is>
      </c>
      <c r="C20" s="86" t="inlineStr">
        <is>
          <t>Bioflair Advisory Board Vienna Feb 2025</t>
        </is>
      </c>
      <c r="D20" s="86" t="inlineStr">
        <is>
          <t>KOL Connect</t>
        </is>
      </c>
      <c r="E20" s="86" t="inlineStr">
        <is>
          <t>Speaker Management</t>
        </is>
      </c>
      <c r="F20" s="85" t="inlineStr">
        <is>
          <t>Closed</t>
        </is>
      </c>
      <c r="G20" s="85" t="inlineStr">
        <is>
          <t>PO-2025-1019</t>
        </is>
      </c>
      <c r="H20" s="85" t="inlineStr">
        <is>
          <t>INV-01019</t>
        </is>
      </c>
      <c r="I20" s="87" t="n">
        <v>13282.07</v>
      </c>
      <c r="J20" s="85" t="inlineStr">
        <is>
          <t>EUR</t>
        </is>
      </c>
      <c r="K20" s="93" t="inlineStr">
        <is>
          <t>Overdue</t>
        </is>
      </c>
      <c r="L20" s="164" t="n">
        <v>45696</v>
      </c>
      <c r="M20" s="93" t="inlineStr">
        <is>
          <t>High</t>
        </is>
      </c>
      <c r="N20" s="178" t="n">
        <v>60</v>
      </c>
      <c r="O20" s="94" t="n">
        <v>501</v>
      </c>
      <c r="P20" s="86" t="inlineStr"/>
      <c r="Q20" s="164" t="n">
        <v>46197</v>
      </c>
    </row>
    <row r="21" ht="18" customHeight="1">
      <c r="A21" s="84" t="inlineStr">
        <is>
          <t>SUP-0020</t>
        </is>
      </c>
      <c r="B21" s="71" t="inlineStr">
        <is>
          <t>EVT-2025-008</t>
        </is>
      </c>
      <c r="C21" s="70" t="inlineStr">
        <is>
          <t>Axotrin Launch Event Amsterdam Dec 2025</t>
        </is>
      </c>
      <c r="D21" s="70" t="inlineStr">
        <is>
          <t>TechEvent Systems</t>
        </is>
      </c>
      <c r="E21" s="70" t="inlineStr">
        <is>
          <t>Registration &amp; Tech</t>
        </is>
      </c>
      <c r="F21" s="71" t="inlineStr">
        <is>
          <t>Active</t>
        </is>
      </c>
      <c r="G21" s="71" t="inlineStr">
        <is>
          <t>PO-2025-1020</t>
        </is>
      </c>
      <c r="H21" s="71" t="inlineStr"/>
      <c r="I21" s="73" t="n">
        <v>63620.48</v>
      </c>
      <c r="J21" s="71" t="inlineStr">
        <is>
          <t>EUR</t>
        </is>
      </c>
      <c r="K21" s="92" t="inlineStr">
        <is>
          <t>Cancelled</t>
        </is>
      </c>
      <c r="L21" s="157" t="n">
        <v>45981</v>
      </c>
      <c r="M21" s="69" t="inlineStr">
        <is>
          <t>Low</t>
        </is>
      </c>
      <c r="N21" s="179" t="n">
        <v>45</v>
      </c>
      <c r="O21" s="91" t="n">
        <v>0</v>
      </c>
      <c r="P21" s="70" t="inlineStr"/>
      <c r="Q21" s="157" t="n">
        <v>46167</v>
      </c>
    </row>
    <row r="22" ht="18" customHeight="1">
      <c r="A22" s="84" t="inlineStr">
        <is>
          <t>SUP-0021</t>
        </is>
      </c>
      <c r="B22" s="85" t="inlineStr">
        <is>
          <t>EVT-2025-008</t>
        </is>
      </c>
      <c r="C22" s="86" t="inlineStr">
        <is>
          <t>Axotrin Launch Event Amsterdam Dec 2025</t>
        </is>
      </c>
      <c r="D22" s="86" t="inlineStr">
        <is>
          <t>InterCongress PCO</t>
        </is>
      </c>
      <c r="E22" s="86" t="inlineStr">
        <is>
          <t>PCO / Event Agency</t>
        </is>
      </c>
      <c r="F22" s="85" t="inlineStr">
        <is>
          <t>Active</t>
        </is>
      </c>
      <c r="G22" s="85" t="inlineStr">
        <is>
          <t>PO-2025-1021</t>
        </is>
      </c>
      <c r="H22" s="85" t="inlineStr"/>
      <c r="I22" s="87" t="n">
        <v>2200.09</v>
      </c>
      <c r="J22" s="85" t="inlineStr">
        <is>
          <t>EUR</t>
        </is>
      </c>
      <c r="K22" s="93" t="inlineStr">
        <is>
          <t>Overdue</t>
        </is>
      </c>
      <c r="L22" s="164" t="n">
        <v>45971</v>
      </c>
      <c r="M22" s="69" t="inlineStr">
        <is>
          <t>Low</t>
        </is>
      </c>
      <c r="N22" s="178" t="n">
        <v>60</v>
      </c>
      <c r="O22" s="94" t="n">
        <v>226</v>
      </c>
      <c r="P22" s="86" t="inlineStr"/>
      <c r="Q22" s="164" t="n">
        <v>46181</v>
      </c>
    </row>
    <row r="23" ht="18" customHeight="1">
      <c r="A23" s="84" t="inlineStr">
        <is>
          <t>SUP-0022</t>
        </is>
      </c>
      <c r="B23" s="71" t="inlineStr">
        <is>
          <t>EVT-2025-009</t>
        </is>
      </c>
      <c r="C23" s="70" t="inlineStr">
        <is>
          <t>Cognivex KOL Meeting Milan Aug 2025</t>
        </is>
      </c>
      <c r="D23" s="70" t="inlineStr">
        <is>
          <t>TechEvent Systems</t>
        </is>
      </c>
      <c r="E23" s="70" t="inlineStr">
        <is>
          <t>Registration &amp; Tech</t>
        </is>
      </c>
      <c r="F23" s="71" t="inlineStr">
        <is>
          <t>Terminated</t>
        </is>
      </c>
      <c r="G23" s="71" t="inlineStr">
        <is>
          <t>PO-2025-1022</t>
        </is>
      </c>
      <c r="H23" s="71" t="inlineStr">
        <is>
          <t>INV-01022</t>
        </is>
      </c>
      <c r="I23" s="73" t="n">
        <v>27930.32</v>
      </c>
      <c r="J23" s="71" t="inlineStr">
        <is>
          <t>EUR</t>
        </is>
      </c>
      <c r="K23" s="95" t="inlineStr">
        <is>
          <t>Invoiced</t>
        </is>
      </c>
      <c r="L23" s="157" t="n">
        <v>45870</v>
      </c>
      <c r="M23" s="69" t="inlineStr">
        <is>
          <t>Low</t>
        </is>
      </c>
      <c r="N23" s="179" t="n">
        <v>30</v>
      </c>
      <c r="O23" s="91" t="n">
        <v>0</v>
      </c>
      <c r="P23" s="70" t="inlineStr"/>
      <c r="Q23" s="157" t="n">
        <v>46184</v>
      </c>
    </row>
    <row r="24" ht="18" customHeight="1">
      <c r="A24" s="84" t="inlineStr">
        <is>
          <t>SUP-0023</t>
        </is>
      </c>
      <c r="B24" s="85" t="inlineStr">
        <is>
          <t>EVT-2025-009</t>
        </is>
      </c>
      <c r="C24" s="86" t="inlineStr">
        <is>
          <t>Cognivex KOL Meeting Milan Aug 2025</t>
        </is>
      </c>
      <c r="D24" s="86" t="inlineStr">
        <is>
          <t>MedAudio AV Solutions</t>
        </is>
      </c>
      <c r="E24" s="86" t="inlineStr">
        <is>
          <t>AV &amp; Technology</t>
        </is>
      </c>
      <c r="F24" s="85" t="inlineStr">
        <is>
          <t>Terminated</t>
        </is>
      </c>
      <c r="G24" s="85" t="inlineStr">
        <is>
          <t>PO-2025-1023</t>
        </is>
      </c>
      <c r="H24" s="85" t="inlineStr"/>
      <c r="I24" s="87" t="n">
        <v>56404.88</v>
      </c>
      <c r="J24" s="85" t="inlineStr">
        <is>
          <t>EUR</t>
        </is>
      </c>
      <c r="K24" s="92" t="inlineStr">
        <is>
          <t>Cancelled</t>
        </is>
      </c>
      <c r="L24" s="164" t="n">
        <v>45869</v>
      </c>
      <c r="M24" s="69" t="inlineStr">
        <is>
          <t>Low</t>
        </is>
      </c>
      <c r="N24" s="178" t="n">
        <v>45</v>
      </c>
      <c r="O24" s="90" t="n">
        <v>0</v>
      </c>
      <c r="P24" s="86" t="inlineStr"/>
      <c r="Q24" s="164" t="n">
        <v>46182</v>
      </c>
    </row>
    <row r="25" ht="18" customHeight="1">
      <c r="A25" s="84" t="inlineStr">
        <is>
          <t>SUP-0024</t>
        </is>
      </c>
      <c r="B25" s="71" t="inlineStr">
        <is>
          <t>EVT-2025-009</t>
        </is>
      </c>
      <c r="C25" s="70" t="inlineStr">
        <is>
          <t>Cognivex KOL Meeting Milan Aug 2025</t>
        </is>
      </c>
      <c r="D25" s="70" t="inlineStr">
        <is>
          <t>Translingua Pro</t>
        </is>
      </c>
      <c r="E25" s="70" t="inlineStr">
        <is>
          <t>Translation &amp; Interpretation</t>
        </is>
      </c>
      <c r="F25" s="71" t="inlineStr">
        <is>
          <t>Signed</t>
        </is>
      </c>
      <c r="G25" s="71" t="inlineStr">
        <is>
          <t>PO-2025-1024</t>
        </is>
      </c>
      <c r="H25" s="71" t="inlineStr">
        <is>
          <t>INV-01024</t>
        </is>
      </c>
      <c r="I25" s="73" t="n">
        <v>26817.75</v>
      </c>
      <c r="J25" s="71" t="inlineStr">
        <is>
          <t>EUR</t>
        </is>
      </c>
      <c r="K25" s="92" t="inlineStr">
        <is>
          <t>Cancelled</t>
        </is>
      </c>
      <c r="L25" s="157" t="n">
        <v>45872</v>
      </c>
      <c r="M25" s="76" t="inlineStr">
        <is>
          <t>Medium</t>
        </is>
      </c>
      <c r="N25" s="179" t="n">
        <v>60</v>
      </c>
      <c r="O25" s="91" t="n">
        <v>0</v>
      </c>
      <c r="P25" s="70" t="inlineStr"/>
      <c r="Q25" s="157" t="n">
        <v>46176</v>
      </c>
    </row>
    <row r="26" ht="18" customHeight="1">
      <c r="A26" s="84" t="inlineStr">
        <is>
          <t>SUP-0025</t>
        </is>
      </c>
      <c r="B26" s="85" t="inlineStr">
        <is>
          <t>EVT-2025-009</t>
        </is>
      </c>
      <c r="C26" s="86" t="inlineStr">
        <is>
          <t>Cognivex KOL Meeting Milan Aug 2025</t>
        </is>
      </c>
      <c r="D26" s="86" t="inlineStr">
        <is>
          <t>PrintMed Solutions</t>
        </is>
      </c>
      <c r="E26" s="86" t="inlineStr">
        <is>
          <t>Print &amp; Production</t>
        </is>
      </c>
      <c r="F26" s="85" t="inlineStr">
        <is>
          <t>RFP Sent</t>
        </is>
      </c>
      <c r="G26" s="85" t="inlineStr">
        <is>
          <t>PO-2025-1025</t>
        </is>
      </c>
      <c r="H26" s="85" t="inlineStr">
        <is>
          <t>INV-01025</t>
        </is>
      </c>
      <c r="I26" s="87" t="n">
        <v>53767.73</v>
      </c>
      <c r="J26" s="85" t="inlineStr">
        <is>
          <t>EUR</t>
        </is>
      </c>
      <c r="K26" s="69" t="inlineStr">
        <is>
          <t>Paid</t>
        </is>
      </c>
      <c r="L26" s="164" t="n">
        <v>45867</v>
      </c>
      <c r="M26" s="93" t="inlineStr">
        <is>
          <t>High</t>
        </is>
      </c>
      <c r="N26" s="178" t="n">
        <v>90</v>
      </c>
      <c r="O26" s="90" t="n">
        <v>0</v>
      </c>
      <c r="P26" s="86" t="inlineStr"/>
      <c r="Q26" s="164" t="n">
        <v>46193</v>
      </c>
    </row>
    <row r="27" ht="18" customHeight="1">
      <c r="A27" s="84" t="inlineStr">
        <is>
          <t>SUP-0026</t>
        </is>
      </c>
      <c r="B27" s="71" t="inlineStr">
        <is>
          <t>EVT-2025-010</t>
        </is>
      </c>
      <c r="C27" s="70" t="inlineStr">
        <is>
          <t>Influximab Launch Event Barcelona Apr 2025</t>
        </is>
      </c>
      <c r="D27" s="70" t="inlineStr">
        <is>
          <t>PrintMed Solutions</t>
        </is>
      </c>
      <c r="E27" s="70" t="inlineStr">
        <is>
          <t>Print &amp; Production</t>
        </is>
      </c>
      <c r="F27" s="71" t="inlineStr">
        <is>
          <t>RFP Sent</t>
        </is>
      </c>
      <c r="G27" s="71" t="inlineStr">
        <is>
          <t>PO-2025-1026</t>
        </is>
      </c>
      <c r="H27" s="71" t="inlineStr">
        <is>
          <t>INV-01026</t>
        </is>
      </c>
      <c r="I27" s="73" t="n">
        <v>9828.440000000001</v>
      </c>
      <c r="J27" s="71" t="inlineStr">
        <is>
          <t>EUR</t>
        </is>
      </c>
      <c r="K27" s="69" t="inlineStr">
        <is>
          <t>Paid</t>
        </is>
      </c>
      <c r="L27" s="157" t="n">
        <v>45754</v>
      </c>
      <c r="M27" s="69" t="inlineStr">
        <is>
          <t>Low</t>
        </is>
      </c>
      <c r="N27" s="179" t="n">
        <v>30</v>
      </c>
      <c r="O27" s="91" t="n">
        <v>0</v>
      </c>
      <c r="P27" s="70" t="inlineStr"/>
      <c r="Q27" s="157" t="n">
        <v>46197</v>
      </c>
    </row>
    <row r="28" ht="18" customHeight="1">
      <c r="A28" s="84" t="inlineStr">
        <is>
          <t>SUP-0027</t>
        </is>
      </c>
      <c r="B28" s="85" t="inlineStr">
        <is>
          <t>EVT-2025-010</t>
        </is>
      </c>
      <c r="C28" s="86" t="inlineStr">
        <is>
          <t>Influximab Launch Event Barcelona Apr 2025</t>
        </is>
      </c>
      <c r="D28" s="86" t="inlineStr">
        <is>
          <t>DigitalPharma Studio</t>
        </is>
      </c>
      <c r="E28" s="86" t="inlineStr">
        <is>
          <t>Digital &amp; Web</t>
        </is>
      </c>
      <c r="F28" s="85" t="inlineStr">
        <is>
          <t>Signed</t>
        </is>
      </c>
      <c r="G28" s="85" t="inlineStr">
        <is>
          <t>PO-2025-1027</t>
        </is>
      </c>
      <c r="H28" s="85" t="inlineStr">
        <is>
          <t>INV-01027</t>
        </is>
      </c>
      <c r="I28" s="87" t="n">
        <v>33978.33</v>
      </c>
      <c r="J28" s="85" t="inlineStr">
        <is>
          <t>EUR</t>
        </is>
      </c>
      <c r="K28" s="96" t="inlineStr">
        <is>
          <t>Pending</t>
        </is>
      </c>
      <c r="L28" s="164" t="n">
        <v>45748</v>
      </c>
      <c r="M28" s="93" t="inlineStr">
        <is>
          <t>High</t>
        </is>
      </c>
      <c r="N28" s="178" t="n">
        <v>45</v>
      </c>
      <c r="O28" s="90" t="n">
        <v>0</v>
      </c>
      <c r="P28" s="86" t="inlineStr"/>
      <c r="Q28" s="164" t="n">
        <v>46181</v>
      </c>
    </row>
    <row r="29" ht="18" customHeight="1">
      <c r="A29" s="84" t="inlineStr">
        <is>
          <t>SUP-0028</t>
        </is>
      </c>
      <c r="B29" s="71" t="inlineStr">
        <is>
          <t>EVT-2025-011</t>
        </is>
      </c>
      <c r="C29" s="70" t="inlineStr">
        <is>
          <t>Influximab Launch Event Amsterdam Dec 2025</t>
        </is>
      </c>
      <c r="D29" s="70" t="inlineStr">
        <is>
          <t>PharmaLogix</t>
        </is>
      </c>
      <c r="E29" s="70" t="inlineStr">
        <is>
          <t>Logistics &amp; Transport</t>
        </is>
      </c>
      <c r="F29" s="71" t="inlineStr">
        <is>
          <t>Active</t>
        </is>
      </c>
      <c r="G29" s="71" t="inlineStr">
        <is>
          <t>PO-2025-1028</t>
        </is>
      </c>
      <c r="H29" s="71" t="inlineStr">
        <is>
          <t>INV-01028</t>
        </is>
      </c>
      <c r="I29" s="73" t="n">
        <v>8264.6</v>
      </c>
      <c r="J29" s="71" t="inlineStr">
        <is>
          <t>EUR</t>
        </is>
      </c>
      <c r="K29" s="92" t="inlineStr">
        <is>
          <t>Cancelled</t>
        </is>
      </c>
      <c r="L29" s="157" t="n">
        <v>45976</v>
      </c>
      <c r="M29" s="76" t="inlineStr">
        <is>
          <t>Medium</t>
        </is>
      </c>
      <c r="N29" s="179" t="n">
        <v>90</v>
      </c>
      <c r="O29" s="91" t="n">
        <v>0</v>
      </c>
      <c r="P29" s="70" t="inlineStr"/>
      <c r="Q29" s="157" t="n">
        <v>46170</v>
      </c>
    </row>
    <row r="30" ht="18" customHeight="1">
      <c r="A30" s="84" t="inlineStr">
        <is>
          <t>SUP-0029</t>
        </is>
      </c>
      <c r="B30" s="85" t="inlineStr">
        <is>
          <t>EVT-2025-011</t>
        </is>
      </c>
      <c r="C30" s="86" t="inlineStr">
        <is>
          <t>Influximab Launch Event Amsterdam Dec 2025</t>
        </is>
      </c>
      <c r="D30" s="86" t="inlineStr">
        <is>
          <t>DigitalPharma Studio</t>
        </is>
      </c>
      <c r="E30" s="86" t="inlineStr">
        <is>
          <t>Digital &amp; Web</t>
        </is>
      </c>
      <c r="F30" s="85" t="inlineStr">
        <is>
          <t>Terminated</t>
        </is>
      </c>
      <c r="G30" s="85" t="inlineStr">
        <is>
          <t>PO-2025-1029</t>
        </is>
      </c>
      <c r="H30" s="85" t="inlineStr">
        <is>
          <t>INV-01029</t>
        </is>
      </c>
      <c r="I30" s="87" t="n">
        <v>26699.57</v>
      </c>
      <c r="J30" s="85" t="inlineStr">
        <is>
          <t>EUR</t>
        </is>
      </c>
      <c r="K30" s="69" t="inlineStr">
        <is>
          <t>Paid</t>
        </is>
      </c>
      <c r="L30" s="164" t="n">
        <v>45964</v>
      </c>
      <c r="M30" s="76" t="inlineStr">
        <is>
          <t>Medium</t>
        </is>
      </c>
      <c r="N30" s="178" t="n">
        <v>90</v>
      </c>
      <c r="O30" s="90" t="n">
        <v>0</v>
      </c>
      <c r="P30" s="86" t="inlineStr"/>
      <c r="Q30" s="164" t="n">
        <v>46170</v>
      </c>
    </row>
    <row r="31" ht="18" customHeight="1">
      <c r="A31" s="84" t="inlineStr">
        <is>
          <t>SUP-0030</t>
        </is>
      </c>
      <c r="B31" s="71" t="inlineStr">
        <is>
          <t>EVT-2025-011</t>
        </is>
      </c>
      <c r="C31" s="70" t="inlineStr">
        <is>
          <t>Influximab Launch Event Amsterdam Dec 2025</t>
        </is>
      </c>
      <c r="D31" s="70" t="inlineStr">
        <is>
          <t>KOL Connect</t>
        </is>
      </c>
      <c r="E31" s="70" t="inlineStr">
        <is>
          <t>Speaker Management</t>
        </is>
      </c>
      <c r="F31" s="71" t="inlineStr">
        <is>
          <t>Negotiating</t>
        </is>
      </c>
      <c r="G31" s="71" t="inlineStr">
        <is>
          <t>PO-2025-1030</t>
        </is>
      </c>
      <c r="H31" s="71" t="inlineStr">
        <is>
          <t>INV-01030</t>
        </is>
      </c>
      <c r="I31" s="73" t="n">
        <v>50161.84</v>
      </c>
      <c r="J31" s="71" t="inlineStr">
        <is>
          <t>EUR</t>
        </is>
      </c>
      <c r="K31" s="95" t="inlineStr">
        <is>
          <t>Invoiced</t>
        </is>
      </c>
      <c r="L31" s="157" t="n">
        <v>45979</v>
      </c>
      <c r="M31" s="76" t="inlineStr">
        <is>
          <t>Medium</t>
        </is>
      </c>
      <c r="N31" s="179" t="n">
        <v>45</v>
      </c>
      <c r="O31" s="91" t="n">
        <v>0</v>
      </c>
      <c r="P31" s="70" t="inlineStr"/>
      <c r="Q31" s="157" t="n">
        <v>46195</v>
      </c>
    </row>
    <row r="32" ht="18" customHeight="1">
      <c r="A32" s="84" t="inlineStr">
        <is>
          <t>SUP-0031</t>
        </is>
      </c>
      <c r="B32" s="85" t="inlineStr">
        <is>
          <t>EVT-2025-012</t>
        </is>
      </c>
      <c r="C32" s="86" t="inlineStr">
        <is>
          <t>Rarzolene KOL Meeting Istanbul Oct 2025</t>
        </is>
      </c>
      <c r="D32" s="86" t="inlineStr">
        <is>
          <t>MedComm Agency</t>
        </is>
      </c>
      <c r="E32" s="86" t="inlineStr">
        <is>
          <t>Medical Communication</t>
        </is>
      </c>
      <c r="F32" s="85" t="inlineStr">
        <is>
          <t>Negotiating</t>
        </is>
      </c>
      <c r="G32" s="85" t="inlineStr">
        <is>
          <t>PO-2025-1031</t>
        </is>
      </c>
      <c r="H32" s="85" t="inlineStr">
        <is>
          <t>INV-01031</t>
        </is>
      </c>
      <c r="I32" s="87" t="n">
        <v>61308.84</v>
      </c>
      <c r="J32" s="85" t="inlineStr">
        <is>
          <t>EUR</t>
        </is>
      </c>
      <c r="K32" s="69" t="inlineStr">
        <is>
          <t>Paid</t>
        </is>
      </c>
      <c r="L32" s="164" t="n">
        <v>45904</v>
      </c>
      <c r="M32" s="76" t="inlineStr">
        <is>
          <t>Medium</t>
        </is>
      </c>
      <c r="N32" s="178" t="n">
        <v>90</v>
      </c>
      <c r="O32" s="90" t="n">
        <v>0</v>
      </c>
      <c r="P32" s="86" t="inlineStr"/>
      <c r="Q32" s="164" t="n">
        <v>46187</v>
      </c>
    </row>
    <row r="33" ht="18" customHeight="1">
      <c r="A33" s="84" t="inlineStr">
        <is>
          <t>SUP-0032</t>
        </is>
      </c>
      <c r="B33" s="71" t="inlineStr">
        <is>
          <t>EVT-2025-013</t>
        </is>
      </c>
      <c r="C33" s="70" t="inlineStr">
        <is>
          <t>Thrombovex KOL Meeting Berlin Sep 2025</t>
        </is>
      </c>
      <c r="D33" s="70" t="inlineStr">
        <is>
          <t>HealthMarketing Group</t>
        </is>
      </c>
      <c r="E33" s="70" t="inlineStr">
        <is>
          <t>Marketing Agency</t>
        </is>
      </c>
      <c r="F33" s="71" t="inlineStr">
        <is>
          <t>Negotiating</t>
        </is>
      </c>
      <c r="G33" s="71" t="inlineStr">
        <is>
          <t>PO-2025-1032</t>
        </is>
      </c>
      <c r="H33" s="71" t="inlineStr">
        <is>
          <t>INV-01032</t>
        </is>
      </c>
      <c r="I33" s="73" t="n">
        <v>6377.3</v>
      </c>
      <c r="J33" s="71" t="inlineStr">
        <is>
          <t>EUR</t>
        </is>
      </c>
      <c r="K33" s="88" t="inlineStr">
        <is>
          <t>Approved</t>
        </is>
      </c>
      <c r="L33" s="157" t="n">
        <v>45900</v>
      </c>
      <c r="M33" s="69" t="inlineStr">
        <is>
          <t>Low</t>
        </is>
      </c>
      <c r="N33" s="179" t="n">
        <v>45</v>
      </c>
      <c r="O33" s="91" t="n">
        <v>0</v>
      </c>
      <c r="P33" s="70" t="inlineStr"/>
      <c r="Q33" s="157" t="n">
        <v>46187</v>
      </c>
    </row>
    <row r="34" ht="18" customHeight="1">
      <c r="A34" s="84" t="inlineStr">
        <is>
          <t>SUP-0033</t>
        </is>
      </c>
      <c r="B34" s="85" t="inlineStr">
        <is>
          <t>EVT-2025-013</t>
        </is>
      </c>
      <c r="C34" s="86" t="inlineStr">
        <is>
          <t>Thrombovex KOL Meeting Berlin Sep 2025</t>
        </is>
      </c>
      <c r="D34" s="86" t="inlineStr">
        <is>
          <t>AVIAWORLD Travel</t>
        </is>
      </c>
      <c r="E34" s="86" t="inlineStr">
        <is>
          <t>Travel &amp; Air</t>
        </is>
      </c>
      <c r="F34" s="85" t="inlineStr">
        <is>
          <t>Active</t>
        </is>
      </c>
      <c r="G34" s="85" t="inlineStr">
        <is>
          <t>PO-2025-1033</t>
        </is>
      </c>
      <c r="H34" s="85" t="inlineStr">
        <is>
          <t>INV-01033</t>
        </is>
      </c>
      <c r="I34" s="87" t="n">
        <v>46142.39</v>
      </c>
      <c r="J34" s="85" t="inlineStr">
        <is>
          <t>EUR</t>
        </is>
      </c>
      <c r="K34" s="96" t="inlineStr">
        <is>
          <t>Pending</t>
        </is>
      </c>
      <c r="L34" s="164" t="n">
        <v>45906</v>
      </c>
      <c r="M34" s="69" t="inlineStr">
        <is>
          <t>Low</t>
        </is>
      </c>
      <c r="N34" s="178" t="n">
        <v>60</v>
      </c>
      <c r="O34" s="90" t="n">
        <v>0</v>
      </c>
      <c r="P34" s="86" t="inlineStr"/>
      <c r="Q34" s="164" t="n">
        <v>46196</v>
      </c>
    </row>
    <row r="35" ht="18" customHeight="1">
      <c r="A35" s="84" t="inlineStr">
        <is>
          <t>SUP-0034</t>
        </is>
      </c>
      <c r="B35" s="71" t="inlineStr">
        <is>
          <t>EVT-2025-013</t>
        </is>
      </c>
      <c r="C35" s="70" t="inlineStr">
        <is>
          <t>Thrombovex KOL Meeting Berlin Sep 2025</t>
        </is>
      </c>
      <c r="D35" s="70" t="inlineStr">
        <is>
          <t>TechEvent Systems</t>
        </is>
      </c>
      <c r="E35" s="70" t="inlineStr">
        <is>
          <t>Registration &amp; Tech</t>
        </is>
      </c>
      <c r="F35" s="71" t="inlineStr">
        <is>
          <t>Negotiating</t>
        </is>
      </c>
      <c r="G35" s="71" t="inlineStr">
        <is>
          <t>PO-2025-1034</t>
        </is>
      </c>
      <c r="H35" s="71" t="inlineStr">
        <is>
          <t>INV-01034</t>
        </is>
      </c>
      <c r="I35" s="73" t="n">
        <v>50337.41</v>
      </c>
      <c r="J35" s="71" t="inlineStr">
        <is>
          <t>EUR</t>
        </is>
      </c>
      <c r="K35" s="93" t="inlineStr">
        <is>
          <t>Overdue</t>
        </is>
      </c>
      <c r="L35" s="157" t="n">
        <v>45904</v>
      </c>
      <c r="M35" s="69" t="inlineStr">
        <is>
          <t>Low</t>
        </is>
      </c>
      <c r="N35" s="179" t="n">
        <v>45</v>
      </c>
      <c r="O35" s="94" t="n">
        <v>293</v>
      </c>
      <c r="P35" s="70" t="inlineStr"/>
      <c r="Q35" s="157" t="n">
        <v>46180</v>
      </c>
    </row>
    <row r="36" ht="18" customHeight="1">
      <c r="A36" s="84" t="inlineStr">
        <is>
          <t>SUP-0035</t>
        </is>
      </c>
      <c r="B36" s="85" t="inlineStr">
        <is>
          <t>EVT-2025-014</t>
        </is>
      </c>
      <c r="C36" s="86" t="inlineStr">
        <is>
          <t>Cognivex Speaker Program Athens Nov 2025</t>
        </is>
      </c>
      <c r="D36" s="86" t="inlineStr">
        <is>
          <t>Translingua Pro</t>
        </is>
      </c>
      <c r="E36" s="86" t="inlineStr">
        <is>
          <t>Translation &amp; Interpretation</t>
        </is>
      </c>
      <c r="F36" s="85" t="inlineStr">
        <is>
          <t>Contract Sent</t>
        </is>
      </c>
      <c r="G36" s="85" t="inlineStr">
        <is>
          <t>PO-2025-1035</t>
        </is>
      </c>
      <c r="H36" s="85" t="inlineStr"/>
      <c r="I36" s="87" t="n">
        <v>21915.48</v>
      </c>
      <c r="J36" s="85" t="inlineStr">
        <is>
          <t>EUR</t>
        </is>
      </c>
      <c r="K36" s="69" t="inlineStr">
        <is>
          <t>Paid</t>
        </is>
      </c>
      <c r="L36" s="164" t="n">
        <v>45956</v>
      </c>
      <c r="M36" s="76" t="inlineStr">
        <is>
          <t>Medium</t>
        </is>
      </c>
      <c r="N36" s="178" t="n">
        <v>90</v>
      </c>
      <c r="O36" s="90" t="n">
        <v>0</v>
      </c>
      <c r="P36" s="86" t="inlineStr"/>
      <c r="Q36" s="164" t="n">
        <v>46185</v>
      </c>
    </row>
    <row r="37" ht="18" customHeight="1">
      <c r="A37" s="84" t="inlineStr">
        <is>
          <t>SUP-0036</t>
        </is>
      </c>
      <c r="B37" s="71" t="inlineStr">
        <is>
          <t>EVT-2025-014</t>
        </is>
      </c>
      <c r="C37" s="70" t="inlineStr">
        <is>
          <t>Cognivex Speaker Program Athens Nov 2025</t>
        </is>
      </c>
      <c r="D37" s="70" t="inlineStr">
        <is>
          <t>Compliance Expert Ltd</t>
        </is>
      </c>
      <c r="E37" s="70" t="inlineStr">
        <is>
          <t>Compliance &amp; Legal</t>
        </is>
      </c>
      <c r="F37" s="71" t="inlineStr">
        <is>
          <t>Contract Sent</t>
        </is>
      </c>
      <c r="G37" s="71" t="inlineStr">
        <is>
          <t>PO-2025-1036</t>
        </is>
      </c>
      <c r="H37" s="71" t="inlineStr">
        <is>
          <t>INV-01036</t>
        </is>
      </c>
      <c r="I37" s="73" t="n">
        <v>14322.1</v>
      </c>
      <c r="J37" s="71" t="inlineStr">
        <is>
          <t>EUR</t>
        </is>
      </c>
      <c r="K37" s="93" t="inlineStr">
        <is>
          <t>Overdue</t>
        </is>
      </c>
      <c r="L37" s="157" t="n">
        <v>45942</v>
      </c>
      <c r="M37" s="93" t="inlineStr">
        <is>
          <t>High</t>
        </is>
      </c>
      <c r="N37" s="179" t="n">
        <v>45</v>
      </c>
      <c r="O37" s="94" t="n">
        <v>255</v>
      </c>
      <c r="P37" s="70" t="inlineStr"/>
      <c r="Q37" s="157" t="n">
        <v>46195</v>
      </c>
    </row>
    <row r="38" ht="18" customHeight="1">
      <c r="A38" s="84" t="inlineStr">
        <is>
          <t>SUP-0037</t>
        </is>
      </c>
      <c r="B38" s="85" t="inlineStr">
        <is>
          <t>EVT-2025-015</t>
        </is>
      </c>
      <c r="C38" s="86" t="inlineStr">
        <is>
          <t>Orphavex Congress Paris Dec 2025</t>
        </is>
      </c>
      <c r="D38" s="86" t="inlineStr">
        <is>
          <t>KOL Connect</t>
        </is>
      </c>
      <c r="E38" s="86" t="inlineStr">
        <is>
          <t>Speaker Management</t>
        </is>
      </c>
      <c r="F38" s="85" t="inlineStr">
        <is>
          <t>Active</t>
        </is>
      </c>
      <c r="G38" s="85" t="inlineStr">
        <is>
          <t>PO-2025-1037</t>
        </is>
      </c>
      <c r="H38" s="85" t="inlineStr"/>
      <c r="I38" s="87" t="n">
        <v>32006.07</v>
      </c>
      <c r="J38" s="85" t="inlineStr">
        <is>
          <t>EUR</t>
        </is>
      </c>
      <c r="K38" s="69" t="inlineStr">
        <is>
          <t>Paid</t>
        </is>
      </c>
      <c r="L38" s="164" t="n">
        <v>45985</v>
      </c>
      <c r="M38" s="69" t="inlineStr">
        <is>
          <t>Low</t>
        </is>
      </c>
      <c r="N38" s="178" t="n">
        <v>90</v>
      </c>
      <c r="O38" s="90" t="n">
        <v>0</v>
      </c>
      <c r="P38" s="86" t="inlineStr"/>
      <c r="Q38" s="164" t="n">
        <v>46183</v>
      </c>
    </row>
    <row r="39" ht="18" customHeight="1">
      <c r="A39" s="84" t="inlineStr">
        <is>
          <t>SUP-0038</t>
        </is>
      </c>
      <c r="B39" s="71" t="inlineStr">
        <is>
          <t>EVT-2025-015</t>
        </is>
      </c>
      <c r="C39" s="70" t="inlineStr">
        <is>
          <t>Orphavex Congress Paris Dec 2025</t>
        </is>
      </c>
      <c r="D39" s="70" t="inlineStr">
        <is>
          <t>Catering Excellence</t>
        </is>
      </c>
      <c r="E39" s="70" t="inlineStr">
        <is>
          <t>F&amp;B / Catering</t>
        </is>
      </c>
      <c r="F39" s="71" t="inlineStr">
        <is>
          <t>Closed</t>
        </is>
      </c>
      <c r="G39" s="71" t="inlineStr">
        <is>
          <t>PO-2025-1038</t>
        </is>
      </c>
      <c r="H39" s="71" t="inlineStr">
        <is>
          <t>INV-01038</t>
        </is>
      </c>
      <c r="I39" s="73" t="n">
        <v>25078.05</v>
      </c>
      <c r="J39" s="71" t="inlineStr">
        <is>
          <t>EUR</t>
        </is>
      </c>
      <c r="K39" s="92" t="inlineStr">
        <is>
          <t>Cancelled</t>
        </is>
      </c>
      <c r="L39" s="157" t="n">
        <v>45978</v>
      </c>
      <c r="M39" s="69" t="inlineStr">
        <is>
          <t>Low</t>
        </is>
      </c>
      <c r="N39" s="179" t="n">
        <v>90</v>
      </c>
      <c r="O39" s="91" t="n">
        <v>0</v>
      </c>
      <c r="P39" s="70" t="inlineStr"/>
      <c r="Q39" s="157" t="n">
        <v>46195</v>
      </c>
    </row>
    <row r="40" ht="18" customHeight="1">
      <c r="A40" s="84" t="inlineStr">
        <is>
          <t>SUP-0039</t>
        </is>
      </c>
      <c r="B40" s="85" t="inlineStr">
        <is>
          <t>EVT-2025-015</t>
        </is>
      </c>
      <c r="C40" s="86" t="inlineStr">
        <is>
          <t>Orphavex Congress Paris Dec 2025</t>
        </is>
      </c>
      <c r="D40" s="86" t="inlineStr">
        <is>
          <t>Translingua Pro</t>
        </is>
      </c>
      <c r="E40" s="86" t="inlineStr">
        <is>
          <t>Translation &amp; Interpretation</t>
        </is>
      </c>
      <c r="F40" s="85" t="inlineStr">
        <is>
          <t>Active</t>
        </is>
      </c>
      <c r="G40" s="85" t="inlineStr">
        <is>
          <t>PO-2025-1039</t>
        </is>
      </c>
      <c r="H40" s="85" t="inlineStr">
        <is>
          <t>INV-01039</t>
        </is>
      </c>
      <c r="I40" s="87" t="n">
        <v>2631.64</v>
      </c>
      <c r="J40" s="85" t="inlineStr">
        <is>
          <t>EUR</t>
        </is>
      </c>
      <c r="K40" s="96" t="inlineStr">
        <is>
          <t>Pending</t>
        </is>
      </c>
      <c r="L40" s="164" t="n">
        <v>45979</v>
      </c>
      <c r="M40" s="76" t="inlineStr">
        <is>
          <t>Medium</t>
        </is>
      </c>
      <c r="N40" s="178" t="n">
        <v>90</v>
      </c>
      <c r="O40" s="90" t="n">
        <v>0</v>
      </c>
      <c r="P40" s="86" t="inlineStr"/>
      <c r="Q40" s="164" t="n">
        <v>46183</v>
      </c>
    </row>
    <row r="41" ht="18" customHeight="1">
      <c r="A41" s="84" t="inlineStr">
        <is>
          <t>SUP-0040</t>
        </is>
      </c>
      <c r="B41" s="71" t="inlineStr">
        <is>
          <t>EVT-2025-015</t>
        </is>
      </c>
      <c r="C41" s="70" t="inlineStr">
        <is>
          <t>Orphavex Congress Paris Dec 2025</t>
        </is>
      </c>
      <c r="D41" s="70" t="inlineStr">
        <is>
          <t>TechEvent Systems</t>
        </is>
      </c>
      <c r="E41" s="70" t="inlineStr">
        <is>
          <t>Registration &amp; Tech</t>
        </is>
      </c>
      <c r="F41" s="71" t="inlineStr">
        <is>
          <t>Active</t>
        </is>
      </c>
      <c r="G41" s="71" t="inlineStr">
        <is>
          <t>PO-2025-1040</t>
        </is>
      </c>
      <c r="H41" s="71" t="inlineStr">
        <is>
          <t>INV-01040</t>
        </is>
      </c>
      <c r="I41" s="73" t="n">
        <v>66961.42999999999</v>
      </c>
      <c r="J41" s="71" t="inlineStr">
        <is>
          <t>EUR</t>
        </is>
      </c>
      <c r="K41" s="88" t="inlineStr">
        <is>
          <t>Approved</t>
        </is>
      </c>
      <c r="L41" s="157" t="n">
        <v>45991</v>
      </c>
      <c r="M41" s="76" t="inlineStr">
        <is>
          <t>Medium</t>
        </is>
      </c>
      <c r="N41" s="179" t="n">
        <v>60</v>
      </c>
      <c r="O41" s="91" t="n">
        <v>0</v>
      </c>
      <c r="P41" s="70" t="inlineStr"/>
      <c r="Q41" s="157" t="n">
        <v>46194</v>
      </c>
    </row>
    <row r="42" ht="18" customHeight="1">
      <c r="A42" s="84" t="inlineStr">
        <is>
          <t>SUP-0041</t>
        </is>
      </c>
      <c r="B42" s="85" t="inlineStr">
        <is>
          <t>EVT-2025-016</t>
        </is>
      </c>
      <c r="C42" s="86" t="inlineStr">
        <is>
          <t>Genetrix Speaker Program Warsaw Jan 2025</t>
        </is>
      </c>
      <c r="D42" s="86" t="inlineStr">
        <is>
          <t>Prime Hospitality Group</t>
        </is>
      </c>
      <c r="E42" s="86" t="inlineStr">
        <is>
          <t>Hotel &amp; Venue</t>
        </is>
      </c>
      <c r="F42" s="85" t="inlineStr">
        <is>
          <t>Terminated</t>
        </is>
      </c>
      <c r="G42" s="85" t="inlineStr">
        <is>
          <t>PO-2025-1041</t>
        </is>
      </c>
      <c r="H42" s="85" t="inlineStr">
        <is>
          <t>INV-01041</t>
        </is>
      </c>
      <c r="I42" s="87" t="n">
        <v>54865.63</v>
      </c>
      <c r="J42" s="85" t="inlineStr">
        <is>
          <t>EUR</t>
        </is>
      </c>
      <c r="K42" s="76" t="inlineStr">
        <is>
          <t>Disputed</t>
        </is>
      </c>
      <c r="L42" s="164" t="n">
        <v>45629</v>
      </c>
      <c r="M42" s="76" t="inlineStr">
        <is>
          <t>Medium</t>
        </is>
      </c>
      <c r="N42" s="178" t="n">
        <v>90</v>
      </c>
      <c r="O42" s="90" t="n">
        <v>0</v>
      </c>
      <c r="P42" s="86" t="inlineStr"/>
      <c r="Q42" s="164" t="n">
        <v>46174</v>
      </c>
    </row>
    <row r="43" ht="18" customHeight="1">
      <c r="A43" s="84" t="inlineStr">
        <is>
          <t>SUP-0042</t>
        </is>
      </c>
      <c r="B43" s="71" t="inlineStr">
        <is>
          <t>EVT-2025-016</t>
        </is>
      </c>
      <c r="C43" s="70" t="inlineStr">
        <is>
          <t>Genetrix Speaker Program Warsaw Jan 2025</t>
        </is>
      </c>
      <c r="D43" s="70" t="inlineStr">
        <is>
          <t>Compliance Expert Ltd</t>
        </is>
      </c>
      <c r="E43" s="70" t="inlineStr">
        <is>
          <t>Compliance &amp; Legal</t>
        </is>
      </c>
      <c r="F43" s="71" t="inlineStr">
        <is>
          <t>Terminated</t>
        </is>
      </c>
      <c r="G43" s="71" t="inlineStr">
        <is>
          <t>PO-2025-1042</t>
        </is>
      </c>
      <c r="H43" s="71" t="inlineStr"/>
      <c r="I43" s="73" t="n">
        <v>9578.790000000001</v>
      </c>
      <c r="J43" s="71" t="inlineStr">
        <is>
          <t>EUR</t>
        </is>
      </c>
      <c r="K43" s="95" t="inlineStr">
        <is>
          <t>Invoiced</t>
        </is>
      </c>
      <c r="L43" s="157" t="n">
        <v>45632</v>
      </c>
      <c r="M43" s="76" t="inlineStr">
        <is>
          <t>Medium</t>
        </is>
      </c>
      <c r="N43" s="179" t="n">
        <v>30</v>
      </c>
      <c r="O43" s="91" t="n">
        <v>0</v>
      </c>
      <c r="P43" s="70" t="inlineStr"/>
      <c r="Q43" s="157" t="n">
        <v>46194</v>
      </c>
    </row>
    <row r="44" ht="18" customHeight="1">
      <c r="A44" s="84" t="inlineStr">
        <is>
          <t>SUP-0043</t>
        </is>
      </c>
      <c r="B44" s="85" t="inlineStr">
        <is>
          <t>EVT-2025-016</t>
        </is>
      </c>
      <c r="C44" s="86" t="inlineStr">
        <is>
          <t>Genetrix Speaker Program Warsaw Jan 2025</t>
        </is>
      </c>
      <c r="D44" s="86" t="inlineStr">
        <is>
          <t>HealthMarketing Group</t>
        </is>
      </c>
      <c r="E44" s="86" t="inlineStr">
        <is>
          <t>Marketing Agency</t>
        </is>
      </c>
      <c r="F44" s="85" t="inlineStr">
        <is>
          <t>Contract Sent</t>
        </is>
      </c>
      <c r="G44" s="85" t="inlineStr">
        <is>
          <t>PO-2025-1043</t>
        </is>
      </c>
      <c r="H44" s="85" t="inlineStr">
        <is>
          <t>INV-01043</t>
        </is>
      </c>
      <c r="I44" s="87" t="n">
        <v>47206.76</v>
      </c>
      <c r="J44" s="85" t="inlineStr">
        <is>
          <t>EUR</t>
        </is>
      </c>
      <c r="K44" s="95" t="inlineStr">
        <is>
          <t>Invoiced</t>
        </is>
      </c>
      <c r="L44" s="164" t="n">
        <v>45629</v>
      </c>
      <c r="M44" s="69" t="inlineStr">
        <is>
          <t>Low</t>
        </is>
      </c>
      <c r="N44" s="178" t="n">
        <v>90</v>
      </c>
      <c r="O44" s="90" t="n">
        <v>0</v>
      </c>
      <c r="P44" s="86" t="inlineStr"/>
      <c r="Q44" s="164" t="n">
        <v>46184</v>
      </c>
    </row>
    <row r="45" ht="18" customHeight="1">
      <c r="A45" s="84" t="inlineStr">
        <is>
          <t>SUP-0044</t>
        </is>
      </c>
      <c r="B45" s="71" t="inlineStr">
        <is>
          <t>EVT-2025-017</t>
        </is>
      </c>
      <c r="C45" s="70" t="inlineStr">
        <is>
          <t>Eplitazan Internal Meeting Budapest Nov 2025</t>
        </is>
      </c>
      <c r="D45" s="70" t="inlineStr">
        <is>
          <t>MedAudio AV Solutions</t>
        </is>
      </c>
      <c r="E45" s="70" t="inlineStr">
        <is>
          <t>AV &amp; Technology</t>
        </is>
      </c>
      <c r="F45" s="71" t="inlineStr">
        <is>
          <t>Negotiating</t>
        </is>
      </c>
      <c r="G45" s="71" t="inlineStr">
        <is>
          <t>PO-2025-1044</t>
        </is>
      </c>
      <c r="H45" s="71" t="inlineStr">
        <is>
          <t>INV-01044</t>
        </is>
      </c>
      <c r="I45" s="73" t="n">
        <v>30536.89</v>
      </c>
      <c r="J45" s="71" t="inlineStr">
        <is>
          <t>EUR</t>
        </is>
      </c>
      <c r="K45" s="92" t="inlineStr">
        <is>
          <t>Cancelled</t>
        </is>
      </c>
      <c r="L45" s="157" t="n">
        <v>45946</v>
      </c>
      <c r="M45" s="93" t="inlineStr">
        <is>
          <t>High</t>
        </is>
      </c>
      <c r="N45" s="179" t="n">
        <v>30</v>
      </c>
      <c r="O45" s="91" t="n">
        <v>0</v>
      </c>
      <c r="P45" s="70" t="inlineStr"/>
      <c r="Q45" s="157" t="n">
        <v>46180</v>
      </c>
    </row>
    <row r="46" ht="18" customHeight="1">
      <c r="A46" s="84" t="inlineStr">
        <is>
          <t>SUP-0045</t>
        </is>
      </c>
      <c r="B46" s="85" t="inlineStr">
        <is>
          <t>EVT-2025-017</t>
        </is>
      </c>
      <c r="C46" s="86" t="inlineStr">
        <is>
          <t>Eplitazan Internal Meeting Budapest Nov 2025</t>
        </is>
      </c>
      <c r="D46" s="86" t="inlineStr">
        <is>
          <t>Prime Hospitality Group</t>
        </is>
      </c>
      <c r="E46" s="86" t="inlineStr">
        <is>
          <t>Hotel &amp; Venue</t>
        </is>
      </c>
      <c r="F46" s="85" t="inlineStr">
        <is>
          <t>Closed</t>
        </is>
      </c>
      <c r="G46" s="85" t="inlineStr">
        <is>
          <t>PO-2025-1045</t>
        </is>
      </c>
      <c r="H46" s="85" t="inlineStr"/>
      <c r="I46" s="87" t="n">
        <v>66325.81</v>
      </c>
      <c r="J46" s="85" t="inlineStr">
        <is>
          <t>EUR</t>
        </is>
      </c>
      <c r="K46" s="95" t="inlineStr">
        <is>
          <t>Invoiced</t>
        </is>
      </c>
      <c r="L46" s="164" t="n">
        <v>45947</v>
      </c>
      <c r="M46" s="93" t="inlineStr">
        <is>
          <t>High</t>
        </is>
      </c>
      <c r="N46" s="178" t="n">
        <v>30</v>
      </c>
      <c r="O46" s="90" t="n">
        <v>0</v>
      </c>
      <c r="P46" s="86" t="inlineStr"/>
      <c r="Q46" s="164" t="n">
        <v>46171</v>
      </c>
    </row>
    <row r="47" ht="18" customHeight="1">
      <c r="A47" s="84" t="inlineStr">
        <is>
          <t>SUP-0046</t>
        </is>
      </c>
      <c r="B47" s="71" t="inlineStr">
        <is>
          <t>EVT-2025-017</t>
        </is>
      </c>
      <c r="C47" s="70" t="inlineStr">
        <is>
          <t>Eplitazan Internal Meeting Budapest Nov 2025</t>
        </is>
      </c>
      <c r="D47" s="70" t="inlineStr">
        <is>
          <t>HealthMarketing Group</t>
        </is>
      </c>
      <c r="E47" s="70" t="inlineStr">
        <is>
          <t>Marketing Agency</t>
        </is>
      </c>
      <c r="F47" s="71" t="inlineStr">
        <is>
          <t>Terminated</t>
        </is>
      </c>
      <c r="G47" s="71" t="inlineStr">
        <is>
          <t>PO-2025-1046</t>
        </is>
      </c>
      <c r="H47" s="71" t="inlineStr">
        <is>
          <t>INV-01046</t>
        </is>
      </c>
      <c r="I47" s="73" t="n">
        <v>64730.14</v>
      </c>
      <c r="J47" s="71" t="inlineStr">
        <is>
          <t>EUR</t>
        </is>
      </c>
      <c r="K47" s="88" t="inlineStr">
        <is>
          <t>Approved</t>
        </is>
      </c>
      <c r="L47" s="157" t="n">
        <v>45948</v>
      </c>
      <c r="M47" s="93" t="inlineStr">
        <is>
          <t>High</t>
        </is>
      </c>
      <c r="N47" s="179" t="n">
        <v>30</v>
      </c>
      <c r="O47" s="91" t="n">
        <v>0</v>
      </c>
      <c r="P47" s="70" t="inlineStr"/>
      <c r="Q47" s="157" t="n">
        <v>46172</v>
      </c>
    </row>
    <row r="48" ht="18" customHeight="1">
      <c r="A48" s="84" t="inlineStr">
        <is>
          <t>SUP-0047</t>
        </is>
      </c>
      <c r="B48" s="85" t="inlineStr">
        <is>
          <t>EVT-2025-017</t>
        </is>
      </c>
      <c r="C48" s="86" t="inlineStr">
        <is>
          <t>Eplitazan Internal Meeting Budapest Nov 2025</t>
        </is>
      </c>
      <c r="D48" s="86" t="inlineStr">
        <is>
          <t>PrintMed Solutions</t>
        </is>
      </c>
      <c r="E48" s="86" t="inlineStr">
        <is>
          <t>Print &amp; Production</t>
        </is>
      </c>
      <c r="F48" s="85" t="inlineStr">
        <is>
          <t>Terminated</t>
        </is>
      </c>
      <c r="G48" s="85" t="inlineStr">
        <is>
          <t>PO-2025-1047</t>
        </is>
      </c>
      <c r="H48" s="85" t="inlineStr">
        <is>
          <t>INV-01047</t>
        </is>
      </c>
      <c r="I48" s="87" t="n">
        <v>69090.97</v>
      </c>
      <c r="J48" s="85" t="inlineStr">
        <is>
          <t>EUR</t>
        </is>
      </c>
      <c r="K48" s="69" t="inlineStr">
        <is>
          <t>Paid</t>
        </is>
      </c>
      <c r="L48" s="164" t="n">
        <v>45939</v>
      </c>
      <c r="M48" s="76" t="inlineStr">
        <is>
          <t>Medium</t>
        </is>
      </c>
      <c r="N48" s="178" t="n">
        <v>60</v>
      </c>
      <c r="O48" s="90" t="n">
        <v>0</v>
      </c>
      <c r="P48" s="86" t="inlineStr"/>
      <c r="Q48" s="164" t="n">
        <v>46169</v>
      </c>
    </row>
    <row r="49" ht="18" customHeight="1">
      <c r="A49" s="84" t="inlineStr">
        <is>
          <t>SUP-0048</t>
        </is>
      </c>
      <c r="B49" s="71" t="inlineStr">
        <is>
          <t>EVT-2025-018</t>
        </is>
      </c>
      <c r="C49" s="70" t="inlineStr">
        <is>
          <t>Caprexosin Launch Event Prague Jan 2025</t>
        </is>
      </c>
      <c r="D49" s="70" t="inlineStr">
        <is>
          <t>PharmaLogix</t>
        </is>
      </c>
      <c r="E49" s="70" t="inlineStr">
        <is>
          <t>Logistics &amp; Transport</t>
        </is>
      </c>
      <c r="F49" s="71" t="inlineStr">
        <is>
          <t>Contract Sent</t>
        </is>
      </c>
      <c r="G49" s="71" t="inlineStr">
        <is>
          <t>PO-2025-1048</t>
        </is>
      </c>
      <c r="H49" s="71" t="inlineStr"/>
      <c r="I49" s="73" t="n">
        <v>11639.92</v>
      </c>
      <c r="J49" s="71" t="inlineStr">
        <is>
          <t>EUR</t>
        </is>
      </c>
      <c r="K49" s="76" t="inlineStr">
        <is>
          <t>Disputed</t>
        </is>
      </c>
      <c r="L49" s="157" t="n">
        <v>45649</v>
      </c>
      <c r="M49" s="76" t="inlineStr">
        <is>
          <t>Medium</t>
        </is>
      </c>
      <c r="N49" s="179" t="n">
        <v>45</v>
      </c>
      <c r="O49" s="91" t="n">
        <v>0</v>
      </c>
      <c r="P49" s="70" t="inlineStr"/>
      <c r="Q49" s="157" t="n">
        <v>46177</v>
      </c>
    </row>
    <row r="50" ht="18" customHeight="1">
      <c r="A50" s="84" t="inlineStr">
        <is>
          <t>SUP-0049</t>
        </is>
      </c>
      <c r="B50" s="85" t="inlineStr">
        <is>
          <t>EVT-2025-018</t>
        </is>
      </c>
      <c r="C50" s="86" t="inlineStr">
        <is>
          <t>Caprexosin Launch Event Prague Jan 2025</t>
        </is>
      </c>
      <c r="D50" s="86" t="inlineStr">
        <is>
          <t>InterCongress PCO</t>
        </is>
      </c>
      <c r="E50" s="86" t="inlineStr">
        <is>
          <t>PCO / Event Agency</t>
        </is>
      </c>
      <c r="F50" s="85" t="inlineStr">
        <is>
          <t>Signed</t>
        </is>
      </c>
      <c r="G50" s="85" t="inlineStr">
        <is>
          <t>PO-2025-1049</t>
        </is>
      </c>
      <c r="H50" s="85" t="inlineStr">
        <is>
          <t>INV-01049</t>
        </is>
      </c>
      <c r="I50" s="87" t="n">
        <v>66148.55</v>
      </c>
      <c r="J50" s="85" t="inlineStr">
        <is>
          <t>EUR</t>
        </is>
      </c>
      <c r="K50" s="88" t="inlineStr">
        <is>
          <t>Approved</t>
        </is>
      </c>
      <c r="L50" s="164" t="n">
        <v>45649</v>
      </c>
      <c r="M50" s="69" t="inlineStr">
        <is>
          <t>Low</t>
        </is>
      </c>
      <c r="N50" s="178" t="n">
        <v>90</v>
      </c>
      <c r="O50" s="90" t="n">
        <v>0</v>
      </c>
      <c r="P50" s="86" t="inlineStr"/>
      <c r="Q50" s="164" t="n">
        <v>46167</v>
      </c>
    </row>
    <row r="51" ht="18" customHeight="1">
      <c r="A51" s="84" t="inlineStr">
        <is>
          <t>SUP-0050</t>
        </is>
      </c>
      <c r="B51" s="71" t="inlineStr">
        <is>
          <t>EVT-2025-018</t>
        </is>
      </c>
      <c r="C51" s="70" t="inlineStr">
        <is>
          <t>Caprexosin Launch Event Prague Jan 2025</t>
        </is>
      </c>
      <c r="D51" s="70" t="inlineStr">
        <is>
          <t>Venue Masters EMEA</t>
        </is>
      </c>
      <c r="E51" s="70" t="inlineStr">
        <is>
          <t>Venue Sourcing</t>
        </is>
      </c>
      <c r="F51" s="71" t="inlineStr">
        <is>
          <t>Negotiating</t>
        </is>
      </c>
      <c r="G51" s="71" t="inlineStr">
        <is>
          <t>PO-2025-1050</t>
        </is>
      </c>
      <c r="H51" s="71" t="inlineStr"/>
      <c r="I51" s="73" t="n">
        <v>70970.32000000001</v>
      </c>
      <c r="J51" s="71" t="inlineStr">
        <is>
          <t>EUR</t>
        </is>
      </c>
      <c r="K51" s="93" t="inlineStr">
        <is>
          <t>Overdue</t>
        </is>
      </c>
      <c r="L51" s="157" t="n">
        <v>45643</v>
      </c>
      <c r="M51" s="69" t="inlineStr">
        <is>
          <t>Low</t>
        </is>
      </c>
      <c r="N51" s="179" t="n">
        <v>60</v>
      </c>
      <c r="O51" s="94" t="n">
        <v>554</v>
      </c>
      <c r="P51" s="70" t="inlineStr"/>
      <c r="Q51" s="157" t="n">
        <v>46186</v>
      </c>
    </row>
    <row r="52" ht="18" customHeight="1">
      <c r="A52" s="84" t="inlineStr">
        <is>
          <t>SUP-0051</t>
        </is>
      </c>
      <c r="B52" s="85" t="inlineStr">
        <is>
          <t>EVT-2025-018</t>
        </is>
      </c>
      <c r="C52" s="86" t="inlineStr">
        <is>
          <t>Caprexosin Launch Event Prague Jan 2025</t>
        </is>
      </c>
      <c r="D52" s="86" t="inlineStr">
        <is>
          <t>MedComm Agency</t>
        </is>
      </c>
      <c r="E52" s="86" t="inlineStr">
        <is>
          <t>Medical Communication</t>
        </is>
      </c>
      <c r="F52" s="85" t="inlineStr">
        <is>
          <t>Closed</t>
        </is>
      </c>
      <c r="G52" s="85" t="inlineStr">
        <is>
          <t>PO-2025-1051</t>
        </is>
      </c>
      <c r="H52" s="85" t="inlineStr">
        <is>
          <t>INV-01051</t>
        </is>
      </c>
      <c r="I52" s="87" t="n">
        <v>51561.51</v>
      </c>
      <c r="J52" s="85" t="inlineStr">
        <is>
          <t>EUR</t>
        </is>
      </c>
      <c r="K52" s="95" t="inlineStr">
        <is>
          <t>Invoiced</t>
        </is>
      </c>
      <c r="L52" s="164" t="n">
        <v>45646</v>
      </c>
      <c r="M52" s="93" t="inlineStr">
        <is>
          <t>High</t>
        </is>
      </c>
      <c r="N52" s="178" t="n">
        <v>30</v>
      </c>
      <c r="O52" s="90" t="n">
        <v>0</v>
      </c>
      <c r="P52" s="86" t="inlineStr"/>
      <c r="Q52" s="164" t="n">
        <v>46171</v>
      </c>
    </row>
    <row r="53" ht="18" customHeight="1">
      <c r="A53" s="84" t="inlineStr">
        <is>
          <t>SUP-0052</t>
        </is>
      </c>
      <c r="B53" s="71" t="inlineStr">
        <is>
          <t>EVT-2025-018</t>
        </is>
      </c>
      <c r="C53" s="70" t="inlineStr">
        <is>
          <t>Caprexosin Launch Event Prague Jan 2025</t>
        </is>
      </c>
      <c r="D53" s="70" t="inlineStr">
        <is>
          <t>AVIAWORLD Travel</t>
        </is>
      </c>
      <c r="E53" s="70" t="inlineStr">
        <is>
          <t>Travel &amp; Air</t>
        </is>
      </c>
      <c r="F53" s="71" t="inlineStr">
        <is>
          <t>RFP Sent</t>
        </is>
      </c>
      <c r="G53" s="71" t="inlineStr">
        <is>
          <t>PO-2025-1052</t>
        </is>
      </c>
      <c r="H53" s="71" t="inlineStr">
        <is>
          <t>INV-01052</t>
        </is>
      </c>
      <c r="I53" s="73" t="n">
        <v>12902.61</v>
      </c>
      <c r="J53" s="71" t="inlineStr">
        <is>
          <t>EUR</t>
        </is>
      </c>
      <c r="K53" s="69" t="inlineStr">
        <is>
          <t>Paid</t>
        </is>
      </c>
      <c r="L53" s="157" t="n">
        <v>45659</v>
      </c>
      <c r="M53" s="69" t="inlineStr">
        <is>
          <t>Low</t>
        </is>
      </c>
      <c r="N53" s="179" t="n">
        <v>45</v>
      </c>
      <c r="O53" s="91" t="n">
        <v>0</v>
      </c>
      <c r="P53" s="70" t="inlineStr"/>
      <c r="Q53" s="157" t="n">
        <v>46170</v>
      </c>
    </row>
    <row r="54" ht="18" customHeight="1">
      <c r="A54" s="84" t="inlineStr">
        <is>
          <t>SUP-0053</t>
        </is>
      </c>
      <c r="B54" s="85" t="inlineStr">
        <is>
          <t>EVT-2025-019</t>
        </is>
      </c>
      <c r="C54" s="86" t="inlineStr">
        <is>
          <t>Influximab Advisory Board London Sep 2025</t>
        </is>
      </c>
      <c r="D54" s="86" t="inlineStr">
        <is>
          <t>Prime Hospitality Group</t>
        </is>
      </c>
      <c r="E54" s="86" t="inlineStr">
        <is>
          <t>Hotel &amp; Venue</t>
        </is>
      </c>
      <c r="F54" s="85" t="inlineStr">
        <is>
          <t>Closed</t>
        </is>
      </c>
      <c r="G54" s="85" t="inlineStr">
        <is>
          <t>PO-2025-1053</t>
        </is>
      </c>
      <c r="H54" s="85" t="inlineStr">
        <is>
          <t>INV-01053</t>
        </is>
      </c>
      <c r="I54" s="87" t="n">
        <v>12581.8</v>
      </c>
      <c r="J54" s="85" t="inlineStr">
        <is>
          <t>EUR</t>
        </is>
      </c>
      <c r="K54" s="76" t="inlineStr">
        <is>
          <t>Disputed</t>
        </is>
      </c>
      <c r="L54" s="164" t="n">
        <v>45885</v>
      </c>
      <c r="M54" s="69" t="inlineStr">
        <is>
          <t>Low</t>
        </is>
      </c>
      <c r="N54" s="178" t="n">
        <v>90</v>
      </c>
      <c r="O54" s="90" t="n">
        <v>0</v>
      </c>
      <c r="P54" s="86" t="inlineStr"/>
      <c r="Q54" s="164" t="n">
        <v>46187</v>
      </c>
    </row>
    <row r="55" ht="18" customHeight="1">
      <c r="A55" s="84" t="inlineStr">
        <is>
          <t>SUP-0054</t>
        </is>
      </c>
      <c r="B55" s="71" t="inlineStr">
        <is>
          <t>EVT-2025-020</t>
        </is>
      </c>
      <c r="C55" s="70" t="inlineStr">
        <is>
          <t>Cognivex Symposium Istanbul Mar 2025</t>
        </is>
      </c>
      <c r="D55" s="70" t="inlineStr">
        <is>
          <t>MedComm Agency</t>
        </is>
      </c>
      <c r="E55" s="70" t="inlineStr">
        <is>
          <t>Medical Communication</t>
        </is>
      </c>
      <c r="F55" s="71" t="inlineStr">
        <is>
          <t>RFP Sent</t>
        </is>
      </c>
      <c r="G55" s="71" t="inlineStr">
        <is>
          <t>PO-2025-1054</t>
        </is>
      </c>
      <c r="H55" s="71" t="inlineStr">
        <is>
          <t>INV-01054</t>
        </is>
      </c>
      <c r="I55" s="73" t="n">
        <v>53083.91</v>
      </c>
      <c r="J55" s="71" t="inlineStr">
        <is>
          <t>EUR</t>
        </is>
      </c>
      <c r="K55" s="95" t="inlineStr">
        <is>
          <t>Invoiced</t>
        </is>
      </c>
      <c r="L55" s="157" t="n">
        <v>45720</v>
      </c>
      <c r="M55" s="76" t="inlineStr">
        <is>
          <t>Medium</t>
        </is>
      </c>
      <c r="N55" s="179" t="n">
        <v>90</v>
      </c>
      <c r="O55" s="91" t="n">
        <v>0</v>
      </c>
      <c r="P55" s="70" t="inlineStr"/>
      <c r="Q55" s="157" t="n">
        <v>46175</v>
      </c>
    </row>
    <row r="56" ht="18" customHeight="1">
      <c r="A56" s="84" t="inlineStr">
        <is>
          <t>SUP-0055</t>
        </is>
      </c>
      <c r="B56" s="85" t="inlineStr">
        <is>
          <t>EVT-2025-020</t>
        </is>
      </c>
      <c r="C56" s="86" t="inlineStr">
        <is>
          <t>Cognivex Symposium Istanbul Mar 2025</t>
        </is>
      </c>
      <c r="D56" s="86" t="inlineStr">
        <is>
          <t>DigitalPharma Studio</t>
        </is>
      </c>
      <c r="E56" s="86" t="inlineStr">
        <is>
          <t>Digital &amp; Web</t>
        </is>
      </c>
      <c r="F56" s="85" t="inlineStr">
        <is>
          <t>Contract Sent</t>
        </is>
      </c>
      <c r="G56" s="85" t="inlineStr">
        <is>
          <t>PO-2025-1055</t>
        </is>
      </c>
      <c r="H56" s="85" t="inlineStr">
        <is>
          <t>INV-01055</t>
        </is>
      </c>
      <c r="I56" s="87" t="n">
        <v>18947.04</v>
      </c>
      <c r="J56" s="85" t="inlineStr">
        <is>
          <t>EUR</t>
        </is>
      </c>
      <c r="K56" s="92" t="inlineStr">
        <is>
          <t>Cancelled</t>
        </is>
      </c>
      <c r="L56" s="164" t="n">
        <v>45721</v>
      </c>
      <c r="M56" s="93" t="inlineStr">
        <is>
          <t>High</t>
        </is>
      </c>
      <c r="N56" s="178" t="n">
        <v>60</v>
      </c>
      <c r="O56" s="90" t="n">
        <v>0</v>
      </c>
      <c r="P56" s="86" t="inlineStr"/>
      <c r="Q56" s="164" t="n">
        <v>46175</v>
      </c>
    </row>
    <row r="57" ht="18" customHeight="1">
      <c r="A57" s="84" t="inlineStr">
        <is>
          <t>SUP-0056</t>
        </is>
      </c>
      <c r="B57" s="71" t="inlineStr">
        <is>
          <t>EVT-2025-020</t>
        </is>
      </c>
      <c r="C57" s="70" t="inlineStr">
        <is>
          <t>Cognivex Symposium Istanbul Mar 2025</t>
        </is>
      </c>
      <c r="D57" s="70" t="inlineStr">
        <is>
          <t>KOL Connect</t>
        </is>
      </c>
      <c r="E57" s="70" t="inlineStr">
        <is>
          <t>Speaker Management</t>
        </is>
      </c>
      <c r="F57" s="71" t="inlineStr">
        <is>
          <t>Contract Sent</t>
        </is>
      </c>
      <c r="G57" s="71" t="inlineStr">
        <is>
          <t>PO-2025-1056</t>
        </is>
      </c>
      <c r="H57" s="71" t="inlineStr"/>
      <c r="I57" s="73" t="n">
        <v>55483.06</v>
      </c>
      <c r="J57" s="71" t="inlineStr">
        <is>
          <t>EUR</t>
        </is>
      </c>
      <c r="K57" s="76" t="inlineStr">
        <is>
          <t>Disputed</t>
        </is>
      </c>
      <c r="L57" s="157" t="n">
        <v>45718</v>
      </c>
      <c r="M57" s="93" t="inlineStr">
        <is>
          <t>High</t>
        </is>
      </c>
      <c r="N57" s="179" t="n">
        <v>90</v>
      </c>
      <c r="O57" s="91" t="n">
        <v>0</v>
      </c>
      <c r="P57" s="70" t="inlineStr"/>
      <c r="Q57" s="157" t="n">
        <v>46194</v>
      </c>
    </row>
    <row r="58" ht="18" customHeight="1">
      <c r="A58" s="84" t="inlineStr">
        <is>
          <t>SUP-0057</t>
        </is>
      </c>
      <c r="B58" s="85" t="inlineStr">
        <is>
          <t>EVT-2025-020</t>
        </is>
      </c>
      <c r="C58" s="86" t="inlineStr">
        <is>
          <t>Cognivex Symposium Istanbul Mar 2025</t>
        </is>
      </c>
      <c r="D58" s="86" t="inlineStr">
        <is>
          <t>Venue Masters EMEA</t>
        </is>
      </c>
      <c r="E58" s="86" t="inlineStr">
        <is>
          <t>Venue Sourcing</t>
        </is>
      </c>
      <c r="F58" s="85" t="inlineStr">
        <is>
          <t>Signed</t>
        </is>
      </c>
      <c r="G58" s="85" t="inlineStr">
        <is>
          <t>PO-2025-1057</t>
        </is>
      </c>
      <c r="H58" s="85" t="inlineStr"/>
      <c r="I58" s="87" t="n">
        <v>23518.75</v>
      </c>
      <c r="J58" s="85" t="inlineStr">
        <is>
          <t>EUR</t>
        </is>
      </c>
      <c r="K58" s="92" t="inlineStr">
        <is>
          <t>Cancelled</t>
        </is>
      </c>
      <c r="L58" s="164" t="n">
        <v>45732</v>
      </c>
      <c r="M58" s="93" t="inlineStr">
        <is>
          <t>High</t>
        </is>
      </c>
      <c r="N58" s="178" t="n">
        <v>30</v>
      </c>
      <c r="O58" s="90" t="n">
        <v>0</v>
      </c>
      <c r="P58" s="86" t="inlineStr"/>
      <c r="Q58" s="164" t="n">
        <v>46173</v>
      </c>
    </row>
    <row r="59" ht="18" customHeight="1">
      <c r="A59" s="84" t="inlineStr">
        <is>
          <t>SUP-0058</t>
        </is>
      </c>
      <c r="B59" s="71" t="inlineStr">
        <is>
          <t>EVT-2025-020</t>
        </is>
      </c>
      <c r="C59" s="70" t="inlineStr">
        <is>
          <t>Cognivex Symposium Istanbul Mar 2025</t>
        </is>
      </c>
      <c r="D59" s="70" t="inlineStr">
        <is>
          <t>MedAudio AV Solutions</t>
        </is>
      </c>
      <c r="E59" s="70" t="inlineStr">
        <is>
          <t>AV &amp; Technology</t>
        </is>
      </c>
      <c r="F59" s="71" t="inlineStr">
        <is>
          <t>RFP Sent</t>
        </is>
      </c>
      <c r="G59" s="71" t="inlineStr">
        <is>
          <t>PO-2025-1058</t>
        </is>
      </c>
      <c r="H59" s="71" t="inlineStr"/>
      <c r="I59" s="73" t="n">
        <v>18544.25</v>
      </c>
      <c r="J59" s="71" t="inlineStr">
        <is>
          <t>EUR</t>
        </is>
      </c>
      <c r="K59" s="96" t="inlineStr">
        <is>
          <t>Pending</t>
        </is>
      </c>
      <c r="L59" s="157" t="n">
        <v>45715</v>
      </c>
      <c r="M59" s="69" t="inlineStr">
        <is>
          <t>Low</t>
        </is>
      </c>
      <c r="N59" s="179" t="n">
        <v>45</v>
      </c>
      <c r="O59" s="91" t="n">
        <v>0</v>
      </c>
      <c r="P59" s="70" t="inlineStr"/>
      <c r="Q59" s="157" t="n">
        <v>46197</v>
      </c>
    </row>
    <row r="60" ht="18" customHeight="1">
      <c r="A60" s="84" t="inlineStr">
        <is>
          <t>SUP-0059</t>
        </is>
      </c>
      <c r="B60" s="85" t="inlineStr">
        <is>
          <t>EVT-2025-021</t>
        </is>
      </c>
      <c r="C60" s="86" t="inlineStr">
        <is>
          <t>Influximab KOL Meeting Copenhagen Jul 2025</t>
        </is>
      </c>
      <c r="D60" s="86" t="inlineStr">
        <is>
          <t>Prime Hospitality Group</t>
        </is>
      </c>
      <c r="E60" s="86" t="inlineStr">
        <is>
          <t>Hotel &amp; Venue</t>
        </is>
      </c>
      <c r="F60" s="85" t="inlineStr">
        <is>
          <t>Terminated</t>
        </is>
      </c>
      <c r="G60" s="85" t="inlineStr">
        <is>
          <t>PO-2025-1059</t>
        </is>
      </c>
      <c r="H60" s="85" t="inlineStr">
        <is>
          <t>INV-01059</t>
        </is>
      </c>
      <c r="I60" s="87" t="n">
        <v>7351.59</v>
      </c>
      <c r="J60" s="85" t="inlineStr">
        <is>
          <t>EUR</t>
        </is>
      </c>
      <c r="K60" s="88" t="inlineStr">
        <is>
          <t>Approved</t>
        </is>
      </c>
      <c r="L60" s="164" t="n">
        <v>45838</v>
      </c>
      <c r="M60" s="69" t="inlineStr">
        <is>
          <t>Low</t>
        </is>
      </c>
      <c r="N60" s="178" t="n">
        <v>60</v>
      </c>
      <c r="O60" s="90" t="n">
        <v>0</v>
      </c>
      <c r="P60" s="86" t="inlineStr"/>
      <c r="Q60" s="164" t="n">
        <v>46186</v>
      </c>
    </row>
    <row r="61" ht="18" customHeight="1">
      <c r="A61" s="84" t="inlineStr">
        <is>
          <t>SUP-0060</t>
        </is>
      </c>
      <c r="B61" s="71" t="inlineStr">
        <is>
          <t>EVT-2025-021</t>
        </is>
      </c>
      <c r="C61" s="70" t="inlineStr">
        <is>
          <t>Influximab KOL Meeting Copenhagen Jul 2025</t>
        </is>
      </c>
      <c r="D61" s="70" t="inlineStr">
        <is>
          <t>MedAudio AV Solutions</t>
        </is>
      </c>
      <c r="E61" s="70" t="inlineStr">
        <is>
          <t>AV &amp; Technology</t>
        </is>
      </c>
      <c r="F61" s="71" t="inlineStr">
        <is>
          <t>RFP Sent</t>
        </is>
      </c>
      <c r="G61" s="71" t="inlineStr">
        <is>
          <t>PO-2025-1060</t>
        </is>
      </c>
      <c r="H61" s="71" t="inlineStr">
        <is>
          <t>INV-01060</t>
        </is>
      </c>
      <c r="I61" s="73" t="n">
        <v>27627.65</v>
      </c>
      <c r="J61" s="71" t="inlineStr">
        <is>
          <t>EUR</t>
        </is>
      </c>
      <c r="K61" s="93" t="inlineStr">
        <is>
          <t>Overdue</t>
        </is>
      </c>
      <c r="L61" s="157" t="n">
        <v>45851</v>
      </c>
      <c r="M61" s="76" t="inlineStr">
        <is>
          <t>Medium</t>
        </is>
      </c>
      <c r="N61" s="179" t="n">
        <v>60</v>
      </c>
      <c r="O61" s="94" t="n">
        <v>346</v>
      </c>
      <c r="P61" s="70" t="inlineStr"/>
      <c r="Q61" s="157" t="n">
        <v>46180</v>
      </c>
    </row>
    <row r="62" ht="18" customHeight="1">
      <c r="A62" s="84" t="inlineStr">
        <is>
          <t>SUP-0061</t>
        </is>
      </c>
      <c r="B62" s="85" t="inlineStr">
        <is>
          <t>EVT-2025-021</t>
        </is>
      </c>
      <c r="C62" s="86" t="inlineStr">
        <is>
          <t>Influximab KOL Meeting Copenhagen Jul 2025</t>
        </is>
      </c>
      <c r="D62" s="86" t="inlineStr">
        <is>
          <t>Venue Masters EMEA</t>
        </is>
      </c>
      <c r="E62" s="86" t="inlineStr">
        <is>
          <t>Venue Sourcing</t>
        </is>
      </c>
      <c r="F62" s="85" t="inlineStr">
        <is>
          <t>Negotiating</t>
        </is>
      </c>
      <c r="G62" s="85" t="inlineStr">
        <is>
          <t>PO-2025-1061</t>
        </is>
      </c>
      <c r="H62" s="85" t="inlineStr"/>
      <c r="I62" s="87" t="n">
        <v>78754.19</v>
      </c>
      <c r="J62" s="85" t="inlineStr">
        <is>
          <t>EUR</t>
        </is>
      </c>
      <c r="K62" s="92" t="inlineStr">
        <is>
          <t>Cancelled</t>
        </is>
      </c>
      <c r="L62" s="164" t="n">
        <v>45851</v>
      </c>
      <c r="M62" s="69" t="inlineStr">
        <is>
          <t>Low</t>
        </is>
      </c>
      <c r="N62" s="178" t="n">
        <v>60</v>
      </c>
      <c r="O62" s="90" t="n">
        <v>0</v>
      </c>
      <c r="P62" s="86" t="inlineStr"/>
      <c r="Q62" s="164" t="n">
        <v>46175</v>
      </c>
    </row>
    <row r="63" ht="18" customHeight="1">
      <c r="A63" s="84" t="inlineStr">
        <is>
          <t>SUP-0062</t>
        </is>
      </c>
      <c r="B63" s="71" t="inlineStr">
        <is>
          <t>EVT-2025-022</t>
        </is>
      </c>
      <c r="C63" s="70" t="inlineStr">
        <is>
          <t>Imunexal Advisory Board Stockholm Jan 2025</t>
        </is>
      </c>
      <c r="D63" s="70" t="inlineStr">
        <is>
          <t>Compliance Expert Ltd</t>
        </is>
      </c>
      <c r="E63" s="70" t="inlineStr">
        <is>
          <t>Compliance &amp; Legal</t>
        </is>
      </c>
      <c r="F63" s="71" t="inlineStr">
        <is>
          <t>Active</t>
        </is>
      </c>
      <c r="G63" s="71" t="inlineStr">
        <is>
          <t>PO-2025-1062</t>
        </is>
      </c>
      <c r="H63" s="71" t="inlineStr">
        <is>
          <t>INV-01062</t>
        </is>
      </c>
      <c r="I63" s="73" t="n">
        <v>12280.65</v>
      </c>
      <c r="J63" s="71" t="inlineStr">
        <is>
          <t>EUR</t>
        </is>
      </c>
      <c r="K63" s="88" t="inlineStr">
        <is>
          <t>Approved</t>
        </is>
      </c>
      <c r="L63" s="157" t="n">
        <v>45650</v>
      </c>
      <c r="M63" s="76" t="inlineStr">
        <is>
          <t>Medium</t>
        </is>
      </c>
      <c r="N63" s="179" t="n">
        <v>30</v>
      </c>
      <c r="O63" s="91" t="n">
        <v>0</v>
      </c>
      <c r="P63" s="70" t="inlineStr"/>
      <c r="Q63" s="157" t="n">
        <v>46196</v>
      </c>
    </row>
    <row r="64" ht="18" customHeight="1">
      <c r="A64" s="84" t="inlineStr">
        <is>
          <t>SUP-0063</t>
        </is>
      </c>
      <c r="B64" s="85" t="inlineStr">
        <is>
          <t>EVT-2025-023</t>
        </is>
      </c>
      <c r="C64" s="86" t="inlineStr">
        <is>
          <t>Nexolimab Advisory Board Barcelona Jun 2025</t>
        </is>
      </c>
      <c r="D64" s="86" t="inlineStr">
        <is>
          <t>AVIAWORLD Travel</t>
        </is>
      </c>
      <c r="E64" s="86" t="inlineStr">
        <is>
          <t>Travel &amp; Air</t>
        </is>
      </c>
      <c r="F64" s="85" t="inlineStr">
        <is>
          <t>Signed</t>
        </is>
      </c>
      <c r="G64" s="85" t="inlineStr">
        <is>
          <t>PO-2025-1063</t>
        </is>
      </c>
      <c r="H64" s="85" t="inlineStr"/>
      <c r="I64" s="87" t="n">
        <v>59854.01</v>
      </c>
      <c r="J64" s="85" t="inlineStr">
        <is>
          <t>EUR</t>
        </is>
      </c>
      <c r="K64" s="96" t="inlineStr">
        <is>
          <t>Pending</t>
        </is>
      </c>
      <c r="L64" s="164" t="n">
        <v>45804</v>
      </c>
      <c r="M64" s="69" t="inlineStr">
        <is>
          <t>Low</t>
        </is>
      </c>
      <c r="N64" s="178" t="n">
        <v>45</v>
      </c>
      <c r="O64" s="90" t="n">
        <v>0</v>
      </c>
      <c r="P64" s="86" t="inlineStr"/>
      <c r="Q64" s="164" t="n">
        <v>46182</v>
      </c>
    </row>
    <row r="65" ht="18" customHeight="1">
      <c r="A65" s="84" t="inlineStr">
        <is>
          <t>SUP-0064</t>
        </is>
      </c>
      <c r="B65" s="71" t="inlineStr">
        <is>
          <t>EVT-2025-023</t>
        </is>
      </c>
      <c r="C65" s="70" t="inlineStr">
        <is>
          <t>Nexolimab Advisory Board Barcelona Jun 2025</t>
        </is>
      </c>
      <c r="D65" s="70" t="inlineStr">
        <is>
          <t>MedAudio AV Solutions</t>
        </is>
      </c>
      <c r="E65" s="70" t="inlineStr">
        <is>
          <t>AV &amp; Technology</t>
        </is>
      </c>
      <c r="F65" s="71" t="inlineStr">
        <is>
          <t>Negotiating</t>
        </is>
      </c>
      <c r="G65" s="71" t="inlineStr">
        <is>
          <t>PO-2025-1064</t>
        </is>
      </c>
      <c r="H65" s="71" t="inlineStr">
        <is>
          <t>INV-01064</t>
        </is>
      </c>
      <c r="I65" s="73" t="n">
        <v>30239.04</v>
      </c>
      <c r="J65" s="71" t="inlineStr">
        <is>
          <t>EUR</t>
        </is>
      </c>
      <c r="K65" s="93" t="inlineStr">
        <is>
          <t>Overdue</t>
        </is>
      </c>
      <c r="L65" s="157" t="n">
        <v>45802</v>
      </c>
      <c r="M65" s="69" t="inlineStr">
        <is>
          <t>Low</t>
        </is>
      </c>
      <c r="N65" s="179" t="n">
        <v>45</v>
      </c>
      <c r="O65" s="94" t="n">
        <v>395</v>
      </c>
      <c r="P65" s="70" t="inlineStr"/>
      <c r="Q65" s="157" t="n">
        <v>46171</v>
      </c>
    </row>
    <row r="66" ht="18" customHeight="1">
      <c r="A66" s="84" t="inlineStr">
        <is>
          <t>SUP-0065</t>
        </is>
      </c>
      <c r="B66" s="85" t="inlineStr">
        <is>
          <t>EVT-2025-023</t>
        </is>
      </c>
      <c r="C66" s="86" t="inlineStr">
        <is>
          <t>Nexolimab Advisory Board Barcelona Jun 2025</t>
        </is>
      </c>
      <c r="D66" s="86" t="inlineStr">
        <is>
          <t>Catering Excellence</t>
        </is>
      </c>
      <c r="E66" s="86" t="inlineStr">
        <is>
          <t>F&amp;B / Catering</t>
        </is>
      </c>
      <c r="F66" s="85" t="inlineStr">
        <is>
          <t>Closed</t>
        </is>
      </c>
      <c r="G66" s="85" t="inlineStr">
        <is>
          <t>PO-2025-1065</t>
        </is>
      </c>
      <c r="H66" s="85" t="inlineStr">
        <is>
          <t>INV-01065</t>
        </is>
      </c>
      <c r="I66" s="87" t="n">
        <v>5382.47</v>
      </c>
      <c r="J66" s="85" t="inlineStr">
        <is>
          <t>EUR</t>
        </is>
      </c>
      <c r="K66" s="69" t="inlineStr">
        <is>
          <t>Paid</t>
        </is>
      </c>
      <c r="L66" s="164" t="n">
        <v>45799</v>
      </c>
      <c r="M66" s="69" t="inlineStr">
        <is>
          <t>Low</t>
        </is>
      </c>
      <c r="N66" s="178" t="n">
        <v>90</v>
      </c>
      <c r="O66" s="90" t="n">
        <v>0</v>
      </c>
      <c r="P66" s="86" t="inlineStr"/>
      <c r="Q66" s="164" t="n">
        <v>46194</v>
      </c>
    </row>
    <row r="67" ht="18" customHeight="1">
      <c r="A67" s="84" t="inlineStr">
        <is>
          <t>SUP-0066</t>
        </is>
      </c>
      <c r="B67" s="71" t="inlineStr">
        <is>
          <t>EVT-2025-024</t>
        </is>
      </c>
      <c r="C67" s="70" t="inlineStr">
        <is>
          <t>Influximab Speaker Program Dublin Oct 2025</t>
        </is>
      </c>
      <c r="D67" s="70" t="inlineStr">
        <is>
          <t>AVIAWORLD Travel</t>
        </is>
      </c>
      <c r="E67" s="70" t="inlineStr">
        <is>
          <t>Travel &amp; Air</t>
        </is>
      </c>
      <c r="F67" s="71" t="inlineStr">
        <is>
          <t>Closed</t>
        </is>
      </c>
      <c r="G67" s="71" t="inlineStr">
        <is>
          <t>PO-2025-1066</t>
        </is>
      </c>
      <c r="H67" s="71" t="inlineStr">
        <is>
          <t>INV-01066</t>
        </is>
      </c>
      <c r="I67" s="73" t="n">
        <v>68089.28999999999</v>
      </c>
      <c r="J67" s="71" t="inlineStr">
        <is>
          <t>EUR</t>
        </is>
      </c>
      <c r="K67" s="69" t="inlineStr">
        <is>
          <t>Paid</t>
        </is>
      </c>
      <c r="L67" s="157" t="n">
        <v>45933</v>
      </c>
      <c r="M67" s="76" t="inlineStr">
        <is>
          <t>Medium</t>
        </is>
      </c>
      <c r="N67" s="179" t="n">
        <v>60</v>
      </c>
      <c r="O67" s="91" t="n">
        <v>0</v>
      </c>
      <c r="P67" s="70" t="inlineStr"/>
      <c r="Q67" s="157" t="n">
        <v>46178</v>
      </c>
    </row>
    <row r="68" ht="18" customHeight="1">
      <c r="A68" s="84" t="inlineStr">
        <is>
          <t>SUP-0067</t>
        </is>
      </c>
      <c r="B68" s="85" t="inlineStr">
        <is>
          <t>EVT-2025-025</t>
        </is>
      </c>
      <c r="C68" s="86" t="inlineStr">
        <is>
          <t>Imunexal Advisory Board Athens Jul 2025</t>
        </is>
      </c>
      <c r="D68" s="86" t="inlineStr">
        <is>
          <t>InterCongress PCO</t>
        </is>
      </c>
      <c r="E68" s="86" t="inlineStr">
        <is>
          <t>PCO / Event Agency</t>
        </is>
      </c>
      <c r="F68" s="85" t="inlineStr">
        <is>
          <t>Closed</t>
        </is>
      </c>
      <c r="G68" s="85" t="inlineStr">
        <is>
          <t>PO-2025-1067</t>
        </is>
      </c>
      <c r="H68" s="85" t="inlineStr"/>
      <c r="I68" s="87" t="n">
        <v>11842.94</v>
      </c>
      <c r="J68" s="85" t="inlineStr">
        <is>
          <t>EUR</t>
        </is>
      </c>
      <c r="K68" s="93" t="inlineStr">
        <is>
          <t>Overdue</t>
        </is>
      </c>
      <c r="L68" s="164" t="n">
        <v>45813</v>
      </c>
      <c r="M68" s="76" t="inlineStr">
        <is>
          <t>Medium</t>
        </is>
      </c>
      <c r="N68" s="178" t="n">
        <v>45</v>
      </c>
      <c r="O68" s="94" t="n">
        <v>384</v>
      </c>
      <c r="P68" s="86" t="inlineStr"/>
      <c r="Q68" s="164" t="n">
        <v>46191</v>
      </c>
    </row>
    <row r="69" ht="18" customHeight="1">
      <c r="A69" s="84" t="inlineStr">
        <is>
          <t>SUP-0068</t>
        </is>
      </c>
      <c r="B69" s="71" t="inlineStr">
        <is>
          <t>EVT-2025-025</t>
        </is>
      </c>
      <c r="C69" s="70" t="inlineStr">
        <is>
          <t>Imunexal Advisory Board Athens Jul 2025</t>
        </is>
      </c>
      <c r="D69" s="70" t="inlineStr">
        <is>
          <t>HealthMarketing Group</t>
        </is>
      </c>
      <c r="E69" s="70" t="inlineStr">
        <is>
          <t>Marketing Agency</t>
        </is>
      </c>
      <c r="F69" s="71" t="inlineStr">
        <is>
          <t>Active</t>
        </is>
      </c>
      <c r="G69" s="71" t="inlineStr">
        <is>
          <t>PO-2025-1068</t>
        </is>
      </c>
      <c r="H69" s="71" t="inlineStr">
        <is>
          <t>INV-01068</t>
        </is>
      </c>
      <c r="I69" s="73" t="n">
        <v>79580.96000000001</v>
      </c>
      <c r="J69" s="71" t="inlineStr">
        <is>
          <t>EUR</t>
        </is>
      </c>
      <c r="K69" s="93" t="inlineStr">
        <is>
          <t>Overdue</t>
        </is>
      </c>
      <c r="L69" s="157" t="n">
        <v>45816</v>
      </c>
      <c r="M69" s="69" t="inlineStr">
        <is>
          <t>Low</t>
        </is>
      </c>
      <c r="N69" s="179" t="n">
        <v>30</v>
      </c>
      <c r="O69" s="94" t="n">
        <v>381</v>
      </c>
      <c r="P69" s="70" t="inlineStr"/>
      <c r="Q69" s="157" t="n">
        <v>46168</v>
      </c>
    </row>
    <row r="70" ht="18" customHeight="1">
      <c r="A70" s="84" t="inlineStr">
        <is>
          <t>SUP-0069</t>
        </is>
      </c>
      <c r="B70" s="85" t="inlineStr">
        <is>
          <t>EVT-2025-025</t>
        </is>
      </c>
      <c r="C70" s="86" t="inlineStr">
        <is>
          <t>Imunexal Advisory Board Athens Jul 2025</t>
        </is>
      </c>
      <c r="D70" s="86" t="inlineStr">
        <is>
          <t>PharmaLogix</t>
        </is>
      </c>
      <c r="E70" s="86" t="inlineStr">
        <is>
          <t>Logistics &amp; Transport</t>
        </is>
      </c>
      <c r="F70" s="85" t="inlineStr">
        <is>
          <t>Terminated</t>
        </is>
      </c>
      <c r="G70" s="85" t="inlineStr">
        <is>
          <t>PO-2025-1069</t>
        </is>
      </c>
      <c r="H70" s="85" t="inlineStr">
        <is>
          <t>INV-01069</t>
        </is>
      </c>
      <c r="I70" s="87" t="n">
        <v>63861.5</v>
      </c>
      <c r="J70" s="85" t="inlineStr">
        <is>
          <t>EUR</t>
        </is>
      </c>
      <c r="K70" s="76" t="inlineStr">
        <is>
          <t>Disputed</t>
        </is>
      </c>
      <c r="L70" s="164" t="n">
        <v>45829</v>
      </c>
      <c r="M70" s="76" t="inlineStr">
        <is>
          <t>Medium</t>
        </is>
      </c>
      <c r="N70" s="178" t="n">
        <v>90</v>
      </c>
      <c r="O70" s="90" t="n">
        <v>0</v>
      </c>
      <c r="P70" s="86" t="inlineStr"/>
      <c r="Q70" s="164" t="n">
        <v>46191</v>
      </c>
    </row>
    <row r="71" ht="18" customHeight="1">
      <c r="A71" s="84" t="inlineStr">
        <is>
          <t>SUP-0070</t>
        </is>
      </c>
      <c r="B71" s="71" t="inlineStr">
        <is>
          <t>EVT-2025-025</t>
        </is>
      </c>
      <c r="C71" s="70" t="inlineStr">
        <is>
          <t>Imunexal Advisory Board Athens Jul 2025</t>
        </is>
      </c>
      <c r="D71" s="70" t="inlineStr">
        <is>
          <t>DigitalPharma Studio</t>
        </is>
      </c>
      <c r="E71" s="70" t="inlineStr">
        <is>
          <t>Digital &amp; Web</t>
        </is>
      </c>
      <c r="F71" s="71" t="inlineStr">
        <is>
          <t>Signed</t>
        </is>
      </c>
      <c r="G71" s="71" t="inlineStr">
        <is>
          <t>PO-2025-1070</t>
        </is>
      </c>
      <c r="H71" s="71" t="inlineStr">
        <is>
          <t>INV-01070</t>
        </is>
      </c>
      <c r="I71" s="73" t="n">
        <v>69508.39999999999</v>
      </c>
      <c r="J71" s="71" t="inlineStr">
        <is>
          <t>EUR</t>
        </is>
      </c>
      <c r="K71" s="88" t="inlineStr">
        <is>
          <t>Approved</t>
        </is>
      </c>
      <c r="L71" s="157" t="n">
        <v>45819</v>
      </c>
      <c r="M71" s="69" t="inlineStr">
        <is>
          <t>Low</t>
        </is>
      </c>
      <c r="N71" s="179" t="n">
        <v>90</v>
      </c>
      <c r="O71" s="91" t="n">
        <v>0</v>
      </c>
      <c r="P71" s="70" t="inlineStr"/>
      <c r="Q71" s="157" t="n">
        <v>46171</v>
      </c>
    </row>
    <row r="72" ht="18" customHeight="1">
      <c r="A72" s="84" t="inlineStr">
        <is>
          <t>SUP-0071</t>
        </is>
      </c>
      <c r="B72" s="85" t="inlineStr">
        <is>
          <t>EVT-2025-026</t>
        </is>
      </c>
      <c r="C72" s="86" t="inlineStr">
        <is>
          <t>Cordavex Investigator Meeting Stockholm Feb 2025</t>
        </is>
      </c>
      <c r="D72" s="86" t="inlineStr">
        <is>
          <t>TechEvent Systems</t>
        </is>
      </c>
      <c r="E72" s="86" t="inlineStr">
        <is>
          <t>Registration &amp; Tech</t>
        </is>
      </c>
      <c r="F72" s="85" t="inlineStr">
        <is>
          <t>Contract Sent</t>
        </is>
      </c>
      <c r="G72" s="85" t="inlineStr">
        <is>
          <t>PO-2025-1071</t>
        </is>
      </c>
      <c r="H72" s="85" t="inlineStr">
        <is>
          <t>INV-01071</t>
        </is>
      </c>
      <c r="I72" s="87" t="n">
        <v>9416.700000000001</v>
      </c>
      <c r="J72" s="85" t="inlineStr">
        <is>
          <t>EUR</t>
        </is>
      </c>
      <c r="K72" s="95" t="inlineStr">
        <is>
          <t>Invoiced</t>
        </is>
      </c>
      <c r="L72" s="164" t="n">
        <v>45693</v>
      </c>
      <c r="M72" s="69" t="inlineStr">
        <is>
          <t>Low</t>
        </is>
      </c>
      <c r="N72" s="178" t="n">
        <v>45</v>
      </c>
      <c r="O72" s="90" t="n">
        <v>0</v>
      </c>
      <c r="P72" s="86" t="inlineStr"/>
      <c r="Q72" s="164" t="n">
        <v>46175</v>
      </c>
    </row>
    <row r="73" ht="18" customHeight="1">
      <c r="A73" s="84" t="inlineStr">
        <is>
          <t>SUP-0072</t>
        </is>
      </c>
      <c r="B73" s="71" t="inlineStr">
        <is>
          <t>EVT-2025-026</t>
        </is>
      </c>
      <c r="C73" s="70" t="inlineStr">
        <is>
          <t>Cordavex Investigator Meeting Stockholm Feb 2025</t>
        </is>
      </c>
      <c r="D73" s="70" t="inlineStr">
        <is>
          <t>Translingua Pro</t>
        </is>
      </c>
      <c r="E73" s="70" t="inlineStr">
        <is>
          <t>Translation &amp; Interpretation</t>
        </is>
      </c>
      <c r="F73" s="71" t="inlineStr">
        <is>
          <t>RFP Sent</t>
        </is>
      </c>
      <c r="G73" s="71" t="inlineStr">
        <is>
          <t>PO-2025-1072</t>
        </is>
      </c>
      <c r="H73" s="71" t="inlineStr">
        <is>
          <t>INV-01072</t>
        </is>
      </c>
      <c r="I73" s="73" t="n">
        <v>55572.04</v>
      </c>
      <c r="J73" s="71" t="inlineStr">
        <is>
          <t>EUR</t>
        </is>
      </c>
      <c r="K73" s="92" t="inlineStr">
        <is>
          <t>Cancelled</t>
        </is>
      </c>
      <c r="L73" s="157" t="n">
        <v>45691</v>
      </c>
      <c r="M73" s="69" t="inlineStr">
        <is>
          <t>Low</t>
        </is>
      </c>
      <c r="N73" s="179" t="n">
        <v>60</v>
      </c>
      <c r="O73" s="91" t="n">
        <v>0</v>
      </c>
      <c r="P73" s="70" t="inlineStr"/>
      <c r="Q73" s="157" t="n">
        <v>46194</v>
      </c>
    </row>
    <row r="74" ht="18" customHeight="1">
      <c r="A74" s="84" t="inlineStr">
        <is>
          <t>SUP-0073</t>
        </is>
      </c>
      <c r="B74" s="85" t="inlineStr">
        <is>
          <t>EVT-2025-026</t>
        </is>
      </c>
      <c r="C74" s="86" t="inlineStr">
        <is>
          <t>Cordavex Investigator Meeting Stockholm Feb 2025</t>
        </is>
      </c>
      <c r="D74" s="86" t="inlineStr">
        <is>
          <t>MedComm Agency</t>
        </is>
      </c>
      <c r="E74" s="86" t="inlineStr">
        <is>
          <t>Medical Communication</t>
        </is>
      </c>
      <c r="F74" s="85" t="inlineStr">
        <is>
          <t>Active</t>
        </is>
      </c>
      <c r="G74" s="85" t="inlineStr">
        <is>
          <t>PO-2025-1073</t>
        </is>
      </c>
      <c r="H74" s="85" t="inlineStr"/>
      <c r="I74" s="87" t="n">
        <v>9532.030000000001</v>
      </c>
      <c r="J74" s="85" t="inlineStr">
        <is>
          <t>EUR</t>
        </is>
      </c>
      <c r="K74" s="88" t="inlineStr">
        <is>
          <t>Approved</t>
        </is>
      </c>
      <c r="L74" s="164" t="n">
        <v>45683</v>
      </c>
      <c r="M74" s="69" t="inlineStr">
        <is>
          <t>Low</t>
        </is>
      </c>
      <c r="N74" s="178" t="n">
        <v>90</v>
      </c>
      <c r="O74" s="90" t="n">
        <v>0</v>
      </c>
      <c r="P74" s="86" t="inlineStr"/>
      <c r="Q74" s="164" t="n">
        <v>46196</v>
      </c>
    </row>
    <row r="75" ht="18" customHeight="1">
      <c r="A75" s="84" t="inlineStr">
        <is>
          <t>SUP-0074</t>
        </is>
      </c>
      <c r="B75" s="71" t="inlineStr">
        <is>
          <t>EVT-2025-027</t>
        </is>
      </c>
      <c r="C75" s="70" t="inlineStr">
        <is>
          <t>Hemaflex Internal Meeting Warsaw May 2025</t>
        </is>
      </c>
      <c r="D75" s="70" t="inlineStr">
        <is>
          <t>DigitalPharma Studio</t>
        </is>
      </c>
      <c r="E75" s="70" t="inlineStr">
        <is>
          <t>Digital &amp; Web</t>
        </is>
      </c>
      <c r="F75" s="71" t="inlineStr">
        <is>
          <t>Terminated</t>
        </is>
      </c>
      <c r="G75" s="71" t="inlineStr">
        <is>
          <t>PO-2025-1074</t>
        </is>
      </c>
      <c r="H75" s="71" t="inlineStr">
        <is>
          <t>INV-01074</t>
        </is>
      </c>
      <c r="I75" s="73" t="n">
        <v>45811.3</v>
      </c>
      <c r="J75" s="71" t="inlineStr">
        <is>
          <t>EUR</t>
        </is>
      </c>
      <c r="K75" s="95" t="inlineStr">
        <is>
          <t>Invoiced</t>
        </is>
      </c>
      <c r="L75" s="157" t="n">
        <v>45757</v>
      </c>
      <c r="M75" s="69" t="inlineStr">
        <is>
          <t>Low</t>
        </is>
      </c>
      <c r="N75" s="179" t="n">
        <v>30</v>
      </c>
      <c r="O75" s="91" t="n">
        <v>0</v>
      </c>
      <c r="P75" s="70" t="inlineStr"/>
      <c r="Q75" s="157" t="n">
        <v>46173</v>
      </c>
    </row>
    <row r="76" ht="18" customHeight="1">
      <c r="A76" s="84" t="inlineStr">
        <is>
          <t>SUP-0075</t>
        </is>
      </c>
      <c r="B76" s="85" t="inlineStr">
        <is>
          <t>EVT-2025-028</t>
        </is>
      </c>
      <c r="C76" s="86" t="inlineStr">
        <is>
          <t>Nexolimab KOL Meeting Milan Jul 2025</t>
        </is>
      </c>
      <c r="D76" s="86" t="inlineStr">
        <is>
          <t>TechEvent Systems</t>
        </is>
      </c>
      <c r="E76" s="86" t="inlineStr">
        <is>
          <t>Registration &amp; Tech</t>
        </is>
      </c>
      <c r="F76" s="85" t="inlineStr">
        <is>
          <t>Closed</t>
        </is>
      </c>
      <c r="G76" s="85" t="inlineStr">
        <is>
          <t>PO-2025-1075</t>
        </is>
      </c>
      <c r="H76" s="85" t="inlineStr">
        <is>
          <t>INV-01075</t>
        </is>
      </c>
      <c r="I76" s="87" t="n">
        <v>29428.4</v>
      </c>
      <c r="J76" s="85" t="inlineStr">
        <is>
          <t>EUR</t>
        </is>
      </c>
      <c r="K76" s="88" t="inlineStr">
        <is>
          <t>Approved</t>
        </is>
      </c>
      <c r="L76" s="164" t="n">
        <v>45841</v>
      </c>
      <c r="M76" s="69" t="inlineStr">
        <is>
          <t>Low</t>
        </is>
      </c>
      <c r="N76" s="178" t="n">
        <v>90</v>
      </c>
      <c r="O76" s="90" t="n">
        <v>0</v>
      </c>
      <c r="P76" s="86" t="inlineStr"/>
      <c r="Q76" s="164" t="n">
        <v>46183</v>
      </c>
    </row>
    <row r="77" ht="18" customHeight="1">
      <c r="A77" s="84" t="inlineStr">
        <is>
          <t>SUP-0076</t>
        </is>
      </c>
      <c r="B77" s="71" t="inlineStr">
        <is>
          <t>EVT-2025-028</t>
        </is>
      </c>
      <c r="C77" s="70" t="inlineStr">
        <is>
          <t>Nexolimab KOL Meeting Milan Jul 2025</t>
        </is>
      </c>
      <c r="D77" s="70" t="inlineStr">
        <is>
          <t>KOL Connect</t>
        </is>
      </c>
      <c r="E77" s="70" t="inlineStr">
        <is>
          <t>Speaker Management</t>
        </is>
      </c>
      <c r="F77" s="71" t="inlineStr">
        <is>
          <t>RFP Sent</t>
        </is>
      </c>
      <c r="G77" s="71" t="inlineStr">
        <is>
          <t>PO-2025-1076</t>
        </is>
      </c>
      <c r="H77" s="71" t="inlineStr">
        <is>
          <t>INV-01076</t>
        </is>
      </c>
      <c r="I77" s="73" t="n">
        <v>68087.44</v>
      </c>
      <c r="J77" s="71" t="inlineStr">
        <is>
          <t>EUR</t>
        </is>
      </c>
      <c r="K77" s="95" t="inlineStr">
        <is>
          <t>Invoiced</t>
        </is>
      </c>
      <c r="L77" s="157" t="n">
        <v>45848</v>
      </c>
      <c r="M77" s="76" t="inlineStr">
        <is>
          <t>Medium</t>
        </is>
      </c>
      <c r="N77" s="179" t="n">
        <v>45</v>
      </c>
      <c r="O77" s="91" t="n">
        <v>0</v>
      </c>
      <c r="P77" s="70" t="inlineStr"/>
      <c r="Q77" s="157" t="n">
        <v>46167</v>
      </c>
    </row>
    <row r="78" ht="18" customHeight="1">
      <c r="A78" s="84" t="inlineStr">
        <is>
          <t>SUP-0077</t>
        </is>
      </c>
      <c r="B78" s="85" t="inlineStr">
        <is>
          <t>EVT-2025-028</t>
        </is>
      </c>
      <c r="C78" s="86" t="inlineStr">
        <is>
          <t>Nexolimab KOL Meeting Milan Jul 2025</t>
        </is>
      </c>
      <c r="D78" s="86" t="inlineStr">
        <is>
          <t>AVIAWORLD Travel</t>
        </is>
      </c>
      <c r="E78" s="86" t="inlineStr">
        <is>
          <t>Travel &amp; Air</t>
        </is>
      </c>
      <c r="F78" s="85" t="inlineStr">
        <is>
          <t>Terminated</t>
        </is>
      </c>
      <c r="G78" s="85" t="inlineStr">
        <is>
          <t>PO-2025-1077</t>
        </is>
      </c>
      <c r="H78" s="85" t="inlineStr">
        <is>
          <t>INV-01077</t>
        </is>
      </c>
      <c r="I78" s="87" t="n">
        <v>46779.8</v>
      </c>
      <c r="J78" s="85" t="inlineStr">
        <is>
          <t>EUR</t>
        </is>
      </c>
      <c r="K78" s="92" t="inlineStr">
        <is>
          <t>Cancelled</t>
        </is>
      </c>
      <c r="L78" s="164" t="n">
        <v>45846</v>
      </c>
      <c r="M78" s="76" t="inlineStr">
        <is>
          <t>Medium</t>
        </is>
      </c>
      <c r="N78" s="178" t="n">
        <v>90</v>
      </c>
      <c r="O78" s="90" t="n">
        <v>0</v>
      </c>
      <c r="P78" s="86" t="inlineStr"/>
      <c r="Q78" s="164" t="n">
        <v>46197</v>
      </c>
    </row>
    <row r="79" ht="18" customHeight="1">
      <c r="A79" s="84" t="inlineStr">
        <is>
          <t>SUP-0078</t>
        </is>
      </c>
      <c r="B79" s="71" t="inlineStr">
        <is>
          <t>EVT-2025-028</t>
        </is>
      </c>
      <c r="C79" s="70" t="inlineStr">
        <is>
          <t>Nexolimab KOL Meeting Milan Jul 2025</t>
        </is>
      </c>
      <c r="D79" s="70" t="inlineStr">
        <is>
          <t>Catering Excellence</t>
        </is>
      </c>
      <c r="E79" s="70" t="inlineStr">
        <is>
          <t>F&amp;B / Catering</t>
        </is>
      </c>
      <c r="F79" s="71" t="inlineStr">
        <is>
          <t>Terminated</t>
        </is>
      </c>
      <c r="G79" s="71" t="inlineStr">
        <is>
          <t>PO-2025-1078</t>
        </is>
      </c>
      <c r="H79" s="71" t="inlineStr">
        <is>
          <t>INV-01078</t>
        </is>
      </c>
      <c r="I79" s="73" t="n">
        <v>54648.18</v>
      </c>
      <c r="J79" s="71" t="inlineStr">
        <is>
          <t>EUR</t>
        </is>
      </c>
      <c r="K79" s="76" t="inlineStr">
        <is>
          <t>Disputed</t>
        </is>
      </c>
      <c r="L79" s="157" t="n">
        <v>45842</v>
      </c>
      <c r="M79" s="69" t="inlineStr">
        <is>
          <t>Low</t>
        </is>
      </c>
      <c r="N79" s="179" t="n">
        <v>30</v>
      </c>
      <c r="O79" s="91" t="n">
        <v>0</v>
      </c>
      <c r="P79" s="70" t="inlineStr"/>
      <c r="Q79" s="157" t="n">
        <v>46180</v>
      </c>
    </row>
    <row r="80" ht="18" customHeight="1">
      <c r="A80" s="84" t="inlineStr">
        <is>
          <t>SUP-0079</t>
        </is>
      </c>
      <c r="B80" s="85" t="inlineStr">
        <is>
          <t>EVT-2025-029</t>
        </is>
      </c>
      <c r="C80" s="86" t="inlineStr">
        <is>
          <t>Axotrin Congress Lisbon May 2025</t>
        </is>
      </c>
      <c r="D80" s="86" t="inlineStr">
        <is>
          <t>AVIAWORLD Travel</t>
        </is>
      </c>
      <c r="E80" s="86" t="inlineStr">
        <is>
          <t>Travel &amp; Air</t>
        </is>
      </c>
      <c r="F80" s="85" t="inlineStr">
        <is>
          <t>Terminated</t>
        </is>
      </c>
      <c r="G80" s="85" t="inlineStr">
        <is>
          <t>PO-2025-1079</t>
        </is>
      </c>
      <c r="H80" s="85" t="inlineStr">
        <is>
          <t>INV-01079</t>
        </is>
      </c>
      <c r="I80" s="87" t="n">
        <v>26100.81</v>
      </c>
      <c r="J80" s="85" t="inlineStr">
        <is>
          <t>EUR</t>
        </is>
      </c>
      <c r="K80" s="88" t="inlineStr">
        <is>
          <t>Approved</t>
        </is>
      </c>
      <c r="L80" s="164" t="n">
        <v>45776</v>
      </c>
      <c r="M80" s="69" t="inlineStr">
        <is>
          <t>Low</t>
        </is>
      </c>
      <c r="N80" s="178" t="n">
        <v>90</v>
      </c>
      <c r="O80" s="90" t="n">
        <v>0</v>
      </c>
      <c r="P80" s="86" t="inlineStr"/>
      <c r="Q80" s="164" t="n">
        <v>46171</v>
      </c>
    </row>
    <row r="81" ht="18" customHeight="1">
      <c r="A81" s="84" t="inlineStr">
        <is>
          <t>SUP-0080</t>
        </is>
      </c>
      <c r="B81" s="71" t="inlineStr">
        <is>
          <t>EVT-2025-029</t>
        </is>
      </c>
      <c r="C81" s="70" t="inlineStr">
        <is>
          <t>Axotrin Congress Lisbon May 2025</t>
        </is>
      </c>
      <c r="D81" s="70" t="inlineStr">
        <is>
          <t>MedAudio AV Solutions</t>
        </is>
      </c>
      <c r="E81" s="70" t="inlineStr">
        <is>
          <t>AV &amp; Technology</t>
        </is>
      </c>
      <c r="F81" s="71" t="inlineStr">
        <is>
          <t>RFP Sent</t>
        </is>
      </c>
      <c r="G81" s="71" t="inlineStr">
        <is>
          <t>PO-2025-1080</t>
        </is>
      </c>
      <c r="H81" s="71" t="inlineStr"/>
      <c r="I81" s="73" t="n">
        <v>53272.88</v>
      </c>
      <c r="J81" s="71" t="inlineStr">
        <is>
          <t>EUR</t>
        </is>
      </c>
      <c r="K81" s="76" t="inlineStr">
        <is>
          <t>Disputed</t>
        </is>
      </c>
      <c r="L81" s="157" t="n">
        <v>45784</v>
      </c>
      <c r="M81" s="69" t="inlineStr">
        <is>
          <t>Low</t>
        </is>
      </c>
      <c r="N81" s="179" t="n">
        <v>90</v>
      </c>
      <c r="O81" s="91" t="n">
        <v>0</v>
      </c>
      <c r="P81" s="70" t="inlineStr"/>
      <c r="Q81" s="157" t="n">
        <v>46168</v>
      </c>
    </row>
    <row r="82" ht="18" customHeight="1">
      <c r="A82" s="84" t="inlineStr">
        <is>
          <t>SUP-0081</t>
        </is>
      </c>
      <c r="B82" s="85" t="inlineStr">
        <is>
          <t>EVT-2025-029</t>
        </is>
      </c>
      <c r="C82" s="86" t="inlineStr">
        <is>
          <t>Axotrin Congress Lisbon May 2025</t>
        </is>
      </c>
      <c r="D82" s="86" t="inlineStr">
        <is>
          <t>Catering Excellence</t>
        </is>
      </c>
      <c r="E82" s="86" t="inlineStr">
        <is>
          <t>F&amp;B / Catering</t>
        </is>
      </c>
      <c r="F82" s="85" t="inlineStr">
        <is>
          <t>Negotiating</t>
        </is>
      </c>
      <c r="G82" s="85" t="inlineStr">
        <is>
          <t>PO-2025-1081</t>
        </is>
      </c>
      <c r="H82" s="85" t="inlineStr"/>
      <c r="I82" s="87" t="n">
        <v>43377.65</v>
      </c>
      <c r="J82" s="85" t="inlineStr">
        <is>
          <t>EUR</t>
        </is>
      </c>
      <c r="K82" s="95" t="inlineStr">
        <is>
          <t>Invoiced</t>
        </is>
      </c>
      <c r="L82" s="164" t="n">
        <v>45774</v>
      </c>
      <c r="M82" s="69" t="inlineStr">
        <is>
          <t>Low</t>
        </is>
      </c>
      <c r="N82" s="178" t="n">
        <v>45</v>
      </c>
      <c r="O82" s="90" t="n">
        <v>0</v>
      </c>
      <c r="P82" s="86" t="inlineStr"/>
      <c r="Q82" s="164" t="n">
        <v>46175</v>
      </c>
    </row>
    <row r="83" ht="18" customHeight="1">
      <c r="A83" s="84" t="inlineStr">
        <is>
          <t>SUP-0082</t>
        </is>
      </c>
      <c r="B83" s="71" t="inlineStr">
        <is>
          <t>EVT-2025-030</t>
        </is>
      </c>
      <c r="C83" s="70" t="inlineStr">
        <is>
          <t>Gastroven KOL Meeting Copenhagen Apr 2025</t>
        </is>
      </c>
      <c r="D83" s="70" t="inlineStr">
        <is>
          <t>Catering Excellence</t>
        </is>
      </c>
      <c r="E83" s="70" t="inlineStr">
        <is>
          <t>F&amp;B / Catering</t>
        </is>
      </c>
      <c r="F83" s="71" t="inlineStr">
        <is>
          <t>Negotiating</t>
        </is>
      </c>
      <c r="G83" s="71" t="inlineStr">
        <is>
          <t>PO-2025-1082</t>
        </is>
      </c>
      <c r="H83" s="71" t="inlineStr">
        <is>
          <t>INV-01082</t>
        </is>
      </c>
      <c r="I83" s="73" t="n">
        <v>46272.3</v>
      </c>
      <c r="J83" s="71" t="inlineStr">
        <is>
          <t>EUR</t>
        </is>
      </c>
      <c r="K83" s="88" t="inlineStr">
        <is>
          <t>Approved</t>
        </is>
      </c>
      <c r="L83" s="157" t="n">
        <v>45760</v>
      </c>
      <c r="M83" s="76" t="inlineStr">
        <is>
          <t>Medium</t>
        </is>
      </c>
      <c r="N83" s="179" t="n">
        <v>45</v>
      </c>
      <c r="O83" s="91" t="n">
        <v>0</v>
      </c>
      <c r="P83" s="70" t="inlineStr"/>
      <c r="Q83" s="157" t="n">
        <v>46174</v>
      </c>
    </row>
    <row r="84" ht="18" customHeight="1">
      <c r="A84" s="84" t="inlineStr">
        <is>
          <t>SUP-0083</t>
        </is>
      </c>
      <c r="B84" s="85" t="inlineStr">
        <is>
          <t>EVT-2025-030</t>
        </is>
      </c>
      <c r="C84" s="86" t="inlineStr">
        <is>
          <t>Gastroven KOL Meeting Copenhagen Apr 2025</t>
        </is>
      </c>
      <c r="D84" s="86" t="inlineStr">
        <is>
          <t>KOL Connect</t>
        </is>
      </c>
      <c r="E84" s="86" t="inlineStr">
        <is>
          <t>Speaker Management</t>
        </is>
      </c>
      <c r="F84" s="85" t="inlineStr">
        <is>
          <t>Signed</t>
        </is>
      </c>
      <c r="G84" s="85" t="inlineStr">
        <is>
          <t>PO-2025-1083</t>
        </is>
      </c>
      <c r="H84" s="85" t="inlineStr">
        <is>
          <t>INV-01083</t>
        </is>
      </c>
      <c r="I84" s="87" t="n">
        <v>5881.47</v>
      </c>
      <c r="J84" s="85" t="inlineStr">
        <is>
          <t>EUR</t>
        </is>
      </c>
      <c r="K84" s="76" t="inlineStr">
        <is>
          <t>Disputed</t>
        </is>
      </c>
      <c r="L84" s="164" t="n">
        <v>45760</v>
      </c>
      <c r="M84" s="69" t="inlineStr">
        <is>
          <t>Low</t>
        </is>
      </c>
      <c r="N84" s="178" t="n">
        <v>45</v>
      </c>
      <c r="O84" s="90" t="n">
        <v>0</v>
      </c>
      <c r="P84" s="86" t="inlineStr"/>
      <c r="Q84" s="164" t="n">
        <v>46194</v>
      </c>
    </row>
    <row r="85" ht="18" customHeight="1">
      <c r="A85" s="84" t="inlineStr">
        <is>
          <t>SUP-0084</t>
        </is>
      </c>
      <c r="B85" s="71" t="inlineStr">
        <is>
          <t>EVT-2025-030</t>
        </is>
      </c>
      <c r="C85" s="70" t="inlineStr">
        <is>
          <t>Gastroven KOL Meeting Copenhagen Apr 2025</t>
        </is>
      </c>
      <c r="D85" s="70" t="inlineStr">
        <is>
          <t>PharmaLogix</t>
        </is>
      </c>
      <c r="E85" s="70" t="inlineStr">
        <is>
          <t>Logistics &amp; Transport</t>
        </is>
      </c>
      <c r="F85" s="71" t="inlineStr">
        <is>
          <t>RFP Sent</t>
        </is>
      </c>
      <c r="G85" s="71" t="inlineStr">
        <is>
          <t>PO-2025-1084</t>
        </is>
      </c>
      <c r="H85" s="71" t="inlineStr">
        <is>
          <t>INV-01084</t>
        </is>
      </c>
      <c r="I85" s="73" t="n">
        <v>36479.45</v>
      </c>
      <c r="J85" s="71" t="inlineStr">
        <is>
          <t>EUR</t>
        </is>
      </c>
      <c r="K85" s="93" t="inlineStr">
        <is>
          <t>Overdue</t>
        </is>
      </c>
      <c r="L85" s="157" t="n">
        <v>45754</v>
      </c>
      <c r="M85" s="69" t="inlineStr">
        <is>
          <t>Low</t>
        </is>
      </c>
      <c r="N85" s="179" t="n">
        <v>90</v>
      </c>
      <c r="O85" s="94" t="n">
        <v>443</v>
      </c>
      <c r="P85" s="70" t="inlineStr"/>
      <c r="Q85" s="157" t="n">
        <v>46176</v>
      </c>
    </row>
    <row r="86" ht="18" customHeight="1">
      <c r="A86" s="84" t="inlineStr">
        <is>
          <t>SUP-0085</t>
        </is>
      </c>
      <c r="B86" s="85" t="inlineStr">
        <is>
          <t>EVT-2025-031</t>
        </is>
      </c>
      <c r="C86" s="86" t="inlineStr">
        <is>
          <t>Antivex Congress Dublin Sep 2025</t>
        </is>
      </c>
      <c r="D86" s="86" t="inlineStr">
        <is>
          <t>MedComm Agency</t>
        </is>
      </c>
      <c r="E86" s="86" t="inlineStr">
        <is>
          <t>Medical Communication</t>
        </is>
      </c>
      <c r="F86" s="85" t="inlineStr">
        <is>
          <t>Negotiating</t>
        </is>
      </c>
      <c r="G86" s="85" t="inlineStr">
        <is>
          <t>PO-2025-1085</t>
        </is>
      </c>
      <c r="H86" s="85" t="inlineStr">
        <is>
          <t>INV-01085</t>
        </is>
      </c>
      <c r="I86" s="87" t="n">
        <v>48264.47</v>
      </c>
      <c r="J86" s="85" t="inlineStr">
        <is>
          <t>EUR</t>
        </is>
      </c>
      <c r="K86" s="96" t="inlineStr">
        <is>
          <t>Pending</t>
        </is>
      </c>
      <c r="L86" s="164" t="n">
        <v>45879</v>
      </c>
      <c r="M86" s="76" t="inlineStr">
        <is>
          <t>Medium</t>
        </is>
      </c>
      <c r="N86" s="178" t="n">
        <v>60</v>
      </c>
      <c r="O86" s="90" t="n">
        <v>0</v>
      </c>
      <c r="P86" s="86" t="inlineStr"/>
      <c r="Q86" s="164" t="n">
        <v>46181</v>
      </c>
    </row>
    <row r="87" ht="18" customHeight="1">
      <c r="A87" s="84" t="inlineStr">
        <is>
          <t>SUP-0086</t>
        </is>
      </c>
      <c r="B87" s="71" t="inlineStr">
        <is>
          <t>EVT-2025-031</t>
        </is>
      </c>
      <c r="C87" s="70" t="inlineStr">
        <is>
          <t>Antivex Congress Dublin Sep 2025</t>
        </is>
      </c>
      <c r="D87" s="70" t="inlineStr">
        <is>
          <t>InterCongress PCO</t>
        </is>
      </c>
      <c r="E87" s="70" t="inlineStr">
        <is>
          <t>PCO / Event Agency</t>
        </is>
      </c>
      <c r="F87" s="71" t="inlineStr">
        <is>
          <t>Terminated</t>
        </is>
      </c>
      <c r="G87" s="71" t="inlineStr">
        <is>
          <t>PO-2025-1086</t>
        </is>
      </c>
      <c r="H87" s="71" t="inlineStr">
        <is>
          <t>INV-01086</t>
        </is>
      </c>
      <c r="I87" s="73" t="n">
        <v>48747.35</v>
      </c>
      <c r="J87" s="71" t="inlineStr">
        <is>
          <t>EUR</t>
        </is>
      </c>
      <c r="K87" s="88" t="inlineStr">
        <is>
          <t>Approved</t>
        </is>
      </c>
      <c r="L87" s="157" t="n">
        <v>45895</v>
      </c>
      <c r="M87" s="69" t="inlineStr">
        <is>
          <t>Low</t>
        </is>
      </c>
      <c r="N87" s="179" t="n">
        <v>90</v>
      </c>
      <c r="O87" s="91" t="n">
        <v>0</v>
      </c>
      <c r="P87" s="70" t="inlineStr"/>
      <c r="Q87" s="157" t="n">
        <v>46184</v>
      </c>
    </row>
    <row r="88" ht="18" customHeight="1">
      <c r="A88" s="84" t="inlineStr">
        <is>
          <t>SUP-0087</t>
        </is>
      </c>
      <c r="B88" s="85" t="inlineStr">
        <is>
          <t>EVT-2025-031</t>
        </is>
      </c>
      <c r="C88" s="86" t="inlineStr">
        <is>
          <t>Antivex Congress Dublin Sep 2025</t>
        </is>
      </c>
      <c r="D88" s="86" t="inlineStr">
        <is>
          <t>Catering Excellence</t>
        </is>
      </c>
      <c r="E88" s="86" t="inlineStr">
        <is>
          <t>F&amp;B / Catering</t>
        </is>
      </c>
      <c r="F88" s="85" t="inlineStr">
        <is>
          <t>Closed</t>
        </is>
      </c>
      <c r="G88" s="85" t="inlineStr">
        <is>
          <t>PO-2025-1087</t>
        </is>
      </c>
      <c r="H88" s="85" t="inlineStr"/>
      <c r="I88" s="87" t="n">
        <v>21930.52</v>
      </c>
      <c r="J88" s="85" t="inlineStr">
        <is>
          <t>EUR</t>
        </is>
      </c>
      <c r="K88" s="69" t="inlineStr">
        <is>
          <t>Paid</t>
        </is>
      </c>
      <c r="L88" s="164" t="n">
        <v>45885</v>
      </c>
      <c r="M88" s="69" t="inlineStr">
        <is>
          <t>Low</t>
        </is>
      </c>
      <c r="N88" s="178" t="n">
        <v>45</v>
      </c>
      <c r="O88" s="90" t="n">
        <v>0</v>
      </c>
      <c r="P88" s="86" t="inlineStr"/>
      <c r="Q88" s="164" t="n">
        <v>46189</v>
      </c>
    </row>
    <row r="89" ht="18" customHeight="1">
      <c r="A89" s="84" t="inlineStr">
        <is>
          <t>SUP-0088</t>
        </is>
      </c>
      <c r="B89" s="71" t="inlineStr">
        <is>
          <t>EVT-2025-032</t>
        </is>
      </c>
      <c r="C89" s="70" t="inlineStr">
        <is>
          <t>Cordavex Advisory Board Helsinki Feb 2025</t>
        </is>
      </c>
      <c r="D89" s="70" t="inlineStr">
        <is>
          <t>MedAudio AV Solutions</t>
        </is>
      </c>
      <c r="E89" s="70" t="inlineStr">
        <is>
          <t>AV &amp; Technology</t>
        </is>
      </c>
      <c r="F89" s="71" t="inlineStr">
        <is>
          <t>Signed</t>
        </is>
      </c>
      <c r="G89" s="71" t="inlineStr">
        <is>
          <t>PO-2025-1088</t>
        </is>
      </c>
      <c r="H89" s="71" t="inlineStr">
        <is>
          <t>INV-01088</t>
        </is>
      </c>
      <c r="I89" s="73" t="n">
        <v>41020.46</v>
      </c>
      <c r="J89" s="71" t="inlineStr">
        <is>
          <t>EUR</t>
        </is>
      </c>
      <c r="K89" s="96" t="inlineStr">
        <is>
          <t>Pending</t>
        </is>
      </c>
      <c r="L89" s="157" t="n">
        <v>45664</v>
      </c>
      <c r="M89" s="76" t="inlineStr">
        <is>
          <t>Medium</t>
        </is>
      </c>
      <c r="N89" s="179" t="n">
        <v>90</v>
      </c>
      <c r="O89" s="91" t="n">
        <v>0</v>
      </c>
      <c r="P89" s="70" t="inlineStr"/>
      <c r="Q89" s="157" t="n">
        <v>46167</v>
      </c>
    </row>
    <row r="90" ht="18" customHeight="1">
      <c r="A90" s="84" t="inlineStr">
        <is>
          <t>SUP-0089</t>
        </is>
      </c>
      <c r="B90" s="85" t="inlineStr">
        <is>
          <t>EVT-2025-032</t>
        </is>
      </c>
      <c r="C90" s="86" t="inlineStr">
        <is>
          <t>Cordavex Advisory Board Helsinki Feb 2025</t>
        </is>
      </c>
      <c r="D90" s="86" t="inlineStr">
        <is>
          <t>HealthMarketing Group</t>
        </is>
      </c>
      <c r="E90" s="86" t="inlineStr">
        <is>
          <t>Marketing Agency</t>
        </is>
      </c>
      <c r="F90" s="85" t="inlineStr">
        <is>
          <t>Terminated</t>
        </is>
      </c>
      <c r="G90" s="85" t="inlineStr">
        <is>
          <t>PO-2025-1089</t>
        </is>
      </c>
      <c r="H90" s="85" t="inlineStr">
        <is>
          <t>INV-01089</t>
        </is>
      </c>
      <c r="I90" s="87" t="n">
        <v>5299.58</v>
      </c>
      <c r="J90" s="85" t="inlineStr">
        <is>
          <t>EUR</t>
        </is>
      </c>
      <c r="K90" s="96" t="inlineStr">
        <is>
          <t>Pending</t>
        </is>
      </c>
      <c r="L90" s="164" t="n">
        <v>45685</v>
      </c>
      <c r="M90" s="69" t="inlineStr">
        <is>
          <t>Low</t>
        </is>
      </c>
      <c r="N90" s="178" t="n">
        <v>60</v>
      </c>
      <c r="O90" s="90" t="n">
        <v>0</v>
      </c>
      <c r="P90" s="86" t="inlineStr"/>
      <c r="Q90" s="164" t="n">
        <v>46188</v>
      </c>
    </row>
    <row r="91" ht="18" customHeight="1">
      <c r="A91" s="84" t="inlineStr">
        <is>
          <t>SUP-0090</t>
        </is>
      </c>
      <c r="B91" s="71" t="inlineStr">
        <is>
          <t>EVT-2025-032</t>
        </is>
      </c>
      <c r="C91" s="70" t="inlineStr">
        <is>
          <t>Cordavex Advisory Board Helsinki Feb 2025</t>
        </is>
      </c>
      <c r="D91" s="70" t="inlineStr">
        <is>
          <t>MedComm Agency</t>
        </is>
      </c>
      <c r="E91" s="70" t="inlineStr">
        <is>
          <t>Medical Communication</t>
        </is>
      </c>
      <c r="F91" s="71" t="inlineStr">
        <is>
          <t>Contract Sent</t>
        </is>
      </c>
      <c r="G91" s="71" t="inlineStr">
        <is>
          <t>PO-2025-1090</t>
        </is>
      </c>
      <c r="H91" s="71" t="inlineStr">
        <is>
          <t>INV-01090</t>
        </is>
      </c>
      <c r="I91" s="73" t="n">
        <v>35484.17</v>
      </c>
      <c r="J91" s="71" t="inlineStr">
        <is>
          <t>EUR</t>
        </is>
      </c>
      <c r="K91" s="69" t="inlineStr">
        <is>
          <t>Paid</t>
        </is>
      </c>
      <c r="L91" s="157" t="n">
        <v>45673</v>
      </c>
      <c r="M91" s="76" t="inlineStr">
        <is>
          <t>Medium</t>
        </is>
      </c>
      <c r="N91" s="179" t="n">
        <v>90</v>
      </c>
      <c r="O91" s="91" t="n">
        <v>0</v>
      </c>
      <c r="P91" s="70" t="inlineStr"/>
      <c r="Q91" s="157" t="n">
        <v>46172</v>
      </c>
    </row>
    <row r="92" ht="18" customHeight="1">
      <c r="A92" s="84" t="inlineStr">
        <is>
          <t>SUP-0091</t>
        </is>
      </c>
      <c r="B92" s="85" t="inlineStr">
        <is>
          <t>EVT-2025-032</t>
        </is>
      </c>
      <c r="C92" s="86" t="inlineStr">
        <is>
          <t>Cordavex Advisory Board Helsinki Feb 2025</t>
        </is>
      </c>
      <c r="D92" s="86" t="inlineStr">
        <is>
          <t>PrintMed Solutions</t>
        </is>
      </c>
      <c r="E92" s="86" t="inlineStr">
        <is>
          <t>Print &amp; Production</t>
        </is>
      </c>
      <c r="F92" s="85" t="inlineStr">
        <is>
          <t>Signed</t>
        </is>
      </c>
      <c r="G92" s="85" t="inlineStr">
        <is>
          <t>PO-2025-1091</t>
        </is>
      </c>
      <c r="H92" s="85" t="inlineStr"/>
      <c r="I92" s="87" t="n">
        <v>3626.81</v>
      </c>
      <c r="J92" s="85" t="inlineStr">
        <is>
          <t>EUR</t>
        </is>
      </c>
      <c r="K92" s="93" t="inlineStr">
        <is>
          <t>Overdue</t>
        </is>
      </c>
      <c r="L92" s="164" t="n">
        <v>45675</v>
      </c>
      <c r="M92" s="69" t="inlineStr">
        <is>
          <t>Low</t>
        </is>
      </c>
      <c r="N92" s="178" t="n">
        <v>45</v>
      </c>
      <c r="O92" s="94" t="n">
        <v>522</v>
      </c>
      <c r="P92" s="86" t="inlineStr"/>
      <c r="Q92" s="164" t="n">
        <v>46193</v>
      </c>
    </row>
    <row r="93" ht="18" customHeight="1">
      <c r="A93" s="84" t="inlineStr">
        <is>
          <t>SUP-0092</t>
        </is>
      </c>
      <c r="B93" s="71" t="inlineStr">
        <is>
          <t>EVT-2025-033</t>
        </is>
      </c>
      <c r="C93" s="70" t="inlineStr">
        <is>
          <t>Caprexosin Advisory Board Athens Dec 2025</t>
        </is>
      </c>
      <c r="D93" s="70" t="inlineStr">
        <is>
          <t>InterCongress PCO</t>
        </is>
      </c>
      <c r="E93" s="70" t="inlineStr">
        <is>
          <t>PCO / Event Agency</t>
        </is>
      </c>
      <c r="F93" s="71" t="inlineStr">
        <is>
          <t>Contract Sent</t>
        </is>
      </c>
      <c r="G93" s="71" t="inlineStr">
        <is>
          <t>PO-2025-1092</t>
        </is>
      </c>
      <c r="H93" s="71" t="inlineStr"/>
      <c r="I93" s="73" t="n">
        <v>47931.96</v>
      </c>
      <c r="J93" s="71" t="inlineStr">
        <is>
          <t>EUR</t>
        </is>
      </c>
      <c r="K93" s="92" t="inlineStr">
        <is>
          <t>Cancelled</t>
        </is>
      </c>
      <c r="L93" s="157" t="n">
        <v>45971</v>
      </c>
      <c r="M93" s="69" t="inlineStr">
        <is>
          <t>Low</t>
        </is>
      </c>
      <c r="N93" s="179" t="n">
        <v>90</v>
      </c>
      <c r="O93" s="91" t="n">
        <v>0</v>
      </c>
      <c r="P93" s="70" t="inlineStr"/>
      <c r="Q93" s="157" t="n">
        <v>46178</v>
      </c>
    </row>
    <row r="94" ht="18" customHeight="1">
      <c r="A94" s="84" t="inlineStr">
        <is>
          <t>SUP-0093</t>
        </is>
      </c>
      <c r="B94" s="85" t="inlineStr">
        <is>
          <t>EVT-2025-033</t>
        </is>
      </c>
      <c r="C94" s="86" t="inlineStr">
        <is>
          <t>Caprexosin Advisory Board Athens Dec 2025</t>
        </is>
      </c>
      <c r="D94" s="86" t="inlineStr">
        <is>
          <t>MedComm Agency</t>
        </is>
      </c>
      <c r="E94" s="86" t="inlineStr">
        <is>
          <t>Medical Communication</t>
        </is>
      </c>
      <c r="F94" s="85" t="inlineStr">
        <is>
          <t>RFP Sent</t>
        </is>
      </c>
      <c r="G94" s="85" t="inlineStr">
        <is>
          <t>PO-2025-1093</t>
        </is>
      </c>
      <c r="H94" s="85" t="inlineStr">
        <is>
          <t>INV-01093</t>
        </is>
      </c>
      <c r="I94" s="87" t="n">
        <v>19282.62</v>
      </c>
      <c r="J94" s="85" t="inlineStr">
        <is>
          <t>EUR</t>
        </is>
      </c>
      <c r="K94" s="76" t="inlineStr">
        <is>
          <t>Disputed</t>
        </is>
      </c>
      <c r="L94" s="164" t="n">
        <v>45982</v>
      </c>
      <c r="M94" s="69" t="inlineStr">
        <is>
          <t>Low</t>
        </is>
      </c>
      <c r="N94" s="178" t="n">
        <v>60</v>
      </c>
      <c r="O94" s="90" t="n">
        <v>0</v>
      </c>
      <c r="P94" s="86" t="inlineStr"/>
      <c r="Q94" s="164" t="n">
        <v>46171</v>
      </c>
    </row>
    <row r="95" ht="18" customHeight="1">
      <c r="A95" s="84" t="inlineStr">
        <is>
          <t>SUP-0094</t>
        </is>
      </c>
      <c r="B95" s="71" t="inlineStr">
        <is>
          <t>EVT-2025-033</t>
        </is>
      </c>
      <c r="C95" s="70" t="inlineStr">
        <is>
          <t>Caprexosin Advisory Board Athens Dec 2025</t>
        </is>
      </c>
      <c r="D95" s="70" t="inlineStr">
        <is>
          <t>HealthMarketing Group</t>
        </is>
      </c>
      <c r="E95" s="70" t="inlineStr">
        <is>
          <t>Marketing Agency</t>
        </is>
      </c>
      <c r="F95" s="71" t="inlineStr">
        <is>
          <t>Closed</t>
        </is>
      </c>
      <c r="G95" s="71" t="inlineStr">
        <is>
          <t>PO-2025-1094</t>
        </is>
      </c>
      <c r="H95" s="71" t="inlineStr">
        <is>
          <t>INV-01094</t>
        </is>
      </c>
      <c r="I95" s="73" t="n">
        <v>17124.49</v>
      </c>
      <c r="J95" s="71" t="inlineStr">
        <is>
          <t>EUR</t>
        </is>
      </c>
      <c r="K95" s="92" t="inlineStr">
        <is>
          <t>Cancelled</t>
        </is>
      </c>
      <c r="L95" s="157" t="n">
        <v>45976</v>
      </c>
      <c r="M95" s="69" t="inlineStr">
        <is>
          <t>Low</t>
        </is>
      </c>
      <c r="N95" s="179" t="n">
        <v>60</v>
      </c>
      <c r="O95" s="91" t="n">
        <v>0</v>
      </c>
      <c r="P95" s="70" t="inlineStr"/>
      <c r="Q95" s="157" t="n">
        <v>46175</v>
      </c>
    </row>
    <row r="96" ht="18" customHeight="1">
      <c r="A96" s="84" t="inlineStr">
        <is>
          <t>SUP-0095</t>
        </is>
      </c>
      <c r="B96" s="85" t="inlineStr">
        <is>
          <t>EVT-2025-034</t>
        </is>
      </c>
      <c r="C96" s="86" t="inlineStr">
        <is>
          <t>Antivex Internal Meeting Lisbon Mar 2025</t>
        </is>
      </c>
      <c r="D96" s="86" t="inlineStr">
        <is>
          <t>Prime Hospitality Group</t>
        </is>
      </c>
      <c r="E96" s="86" t="inlineStr">
        <is>
          <t>Hotel &amp; Venue</t>
        </is>
      </c>
      <c r="F96" s="85" t="inlineStr">
        <is>
          <t>Closed</t>
        </is>
      </c>
      <c r="G96" s="85" t="inlineStr">
        <is>
          <t>PO-2025-1095</t>
        </is>
      </c>
      <c r="H96" s="85" t="inlineStr"/>
      <c r="I96" s="87" t="n">
        <v>17387.2</v>
      </c>
      <c r="J96" s="85" t="inlineStr">
        <is>
          <t>EUR</t>
        </is>
      </c>
      <c r="K96" s="92" t="inlineStr">
        <is>
          <t>Cancelled</t>
        </is>
      </c>
      <c r="L96" s="164" t="n">
        <v>45699</v>
      </c>
      <c r="M96" s="69" t="inlineStr">
        <is>
          <t>Low</t>
        </is>
      </c>
      <c r="N96" s="178" t="n">
        <v>45</v>
      </c>
      <c r="O96" s="90" t="n">
        <v>0</v>
      </c>
      <c r="P96" s="86" t="inlineStr"/>
      <c r="Q96" s="164" t="n">
        <v>46191</v>
      </c>
    </row>
    <row r="97" ht="18" customHeight="1">
      <c r="A97" s="84" t="inlineStr">
        <is>
          <t>SUP-0096</t>
        </is>
      </c>
      <c r="B97" s="71" t="inlineStr">
        <is>
          <t>EVT-2025-034</t>
        </is>
      </c>
      <c r="C97" s="70" t="inlineStr">
        <is>
          <t>Antivex Internal Meeting Lisbon Mar 2025</t>
        </is>
      </c>
      <c r="D97" s="70" t="inlineStr">
        <is>
          <t>InterCongress PCO</t>
        </is>
      </c>
      <c r="E97" s="70" t="inlineStr">
        <is>
          <t>PCO / Event Agency</t>
        </is>
      </c>
      <c r="F97" s="71" t="inlineStr">
        <is>
          <t>Active</t>
        </is>
      </c>
      <c r="G97" s="71" t="inlineStr">
        <is>
          <t>PO-2025-1096</t>
        </is>
      </c>
      <c r="H97" s="71" t="inlineStr"/>
      <c r="I97" s="73" t="n">
        <v>76200.78999999999</v>
      </c>
      <c r="J97" s="71" t="inlineStr">
        <is>
          <t>EUR</t>
        </is>
      </c>
      <c r="K97" s="92" t="inlineStr">
        <is>
          <t>Cancelled</t>
        </is>
      </c>
      <c r="L97" s="157" t="n">
        <v>45698</v>
      </c>
      <c r="M97" s="69" t="inlineStr">
        <is>
          <t>Low</t>
        </is>
      </c>
      <c r="N97" s="179" t="n">
        <v>45</v>
      </c>
      <c r="O97" s="91" t="n">
        <v>0</v>
      </c>
      <c r="P97" s="70" t="inlineStr"/>
      <c r="Q97" s="157" t="n">
        <v>46178</v>
      </c>
    </row>
    <row r="98" ht="18" customHeight="1">
      <c r="A98" s="84" t="inlineStr">
        <is>
          <t>SUP-0097</t>
        </is>
      </c>
      <c r="B98" s="85" t="inlineStr">
        <is>
          <t>EVT-2025-035</t>
        </is>
      </c>
      <c r="C98" s="86" t="inlineStr">
        <is>
          <t>Cordavex Webinar Amsterdam Sep 2025</t>
        </is>
      </c>
      <c r="D98" s="86" t="inlineStr">
        <is>
          <t>Translingua Pro</t>
        </is>
      </c>
      <c r="E98" s="86" t="inlineStr">
        <is>
          <t>Translation &amp; Interpretation</t>
        </is>
      </c>
      <c r="F98" s="85" t="inlineStr">
        <is>
          <t>RFP Sent</t>
        </is>
      </c>
      <c r="G98" s="85" t="inlineStr">
        <is>
          <t>PO-2025-1097</t>
        </is>
      </c>
      <c r="H98" s="85" t="inlineStr">
        <is>
          <t>INV-01097</t>
        </is>
      </c>
      <c r="I98" s="87" t="n">
        <v>27210.24</v>
      </c>
      <c r="J98" s="85" t="inlineStr">
        <is>
          <t>EUR</t>
        </is>
      </c>
      <c r="K98" s="69" t="inlineStr">
        <is>
          <t>Paid</t>
        </is>
      </c>
      <c r="L98" s="164" t="n">
        <v>45890</v>
      </c>
      <c r="M98" s="69" t="inlineStr">
        <is>
          <t>Low</t>
        </is>
      </c>
      <c r="N98" s="178" t="n">
        <v>60</v>
      </c>
      <c r="O98" s="90" t="n">
        <v>0</v>
      </c>
      <c r="P98" s="86" t="inlineStr"/>
      <c r="Q98" s="164" t="n">
        <v>46176</v>
      </c>
    </row>
    <row r="99" ht="18" customHeight="1">
      <c r="A99" s="84" t="inlineStr">
        <is>
          <t>SUP-0098</t>
        </is>
      </c>
      <c r="B99" s="71" t="inlineStr">
        <is>
          <t>EVT-2025-035</t>
        </is>
      </c>
      <c r="C99" s="70" t="inlineStr">
        <is>
          <t>Cordavex Webinar Amsterdam Sep 2025</t>
        </is>
      </c>
      <c r="D99" s="70" t="inlineStr">
        <is>
          <t>Compliance Expert Ltd</t>
        </is>
      </c>
      <c r="E99" s="70" t="inlineStr">
        <is>
          <t>Compliance &amp; Legal</t>
        </is>
      </c>
      <c r="F99" s="71" t="inlineStr">
        <is>
          <t>Active</t>
        </is>
      </c>
      <c r="G99" s="71" t="inlineStr">
        <is>
          <t>PO-2025-1098</t>
        </is>
      </c>
      <c r="H99" s="71" t="inlineStr">
        <is>
          <t>INV-01098</t>
        </is>
      </c>
      <c r="I99" s="73" t="n">
        <v>51248.04</v>
      </c>
      <c r="J99" s="71" t="inlineStr">
        <is>
          <t>EUR</t>
        </is>
      </c>
      <c r="K99" s="95" t="inlineStr">
        <is>
          <t>Invoiced</t>
        </is>
      </c>
      <c r="L99" s="157" t="n">
        <v>45902</v>
      </c>
      <c r="M99" s="69" t="inlineStr">
        <is>
          <t>Low</t>
        </is>
      </c>
      <c r="N99" s="179" t="n">
        <v>60</v>
      </c>
      <c r="O99" s="91" t="n">
        <v>0</v>
      </c>
      <c r="P99" s="70" t="inlineStr"/>
      <c r="Q99" s="157" t="n">
        <v>46168</v>
      </c>
    </row>
    <row r="100" ht="18" customHeight="1">
      <c r="A100" s="84" t="inlineStr">
        <is>
          <t>SUP-0099</t>
        </is>
      </c>
      <c r="B100" s="85" t="inlineStr">
        <is>
          <t>EVT-2025-035</t>
        </is>
      </c>
      <c r="C100" s="86" t="inlineStr">
        <is>
          <t>Cordavex Webinar Amsterdam Sep 2025</t>
        </is>
      </c>
      <c r="D100" s="86" t="inlineStr">
        <is>
          <t>DigitalPharma Studio</t>
        </is>
      </c>
      <c r="E100" s="86" t="inlineStr">
        <is>
          <t>Digital &amp; Web</t>
        </is>
      </c>
      <c r="F100" s="85" t="inlineStr">
        <is>
          <t>Contract Sent</t>
        </is>
      </c>
      <c r="G100" s="85" t="inlineStr">
        <is>
          <t>PO-2025-1099</t>
        </is>
      </c>
      <c r="H100" s="85" t="inlineStr"/>
      <c r="I100" s="87" t="n">
        <v>38015.91</v>
      </c>
      <c r="J100" s="85" t="inlineStr">
        <is>
          <t>EUR</t>
        </is>
      </c>
      <c r="K100" s="92" t="inlineStr">
        <is>
          <t>Cancelled</t>
        </is>
      </c>
      <c r="L100" s="164" t="n">
        <v>45909</v>
      </c>
      <c r="M100" s="69" t="inlineStr">
        <is>
          <t>Low</t>
        </is>
      </c>
      <c r="N100" s="178" t="n">
        <v>45</v>
      </c>
      <c r="O100" s="90" t="n">
        <v>0</v>
      </c>
      <c r="P100" s="86" t="inlineStr"/>
      <c r="Q100" s="164" t="n">
        <v>46175</v>
      </c>
    </row>
    <row r="101" ht="18" customHeight="1">
      <c r="A101" s="84" t="inlineStr">
        <is>
          <t>SUP-0100</t>
        </is>
      </c>
      <c r="B101" s="71" t="inlineStr">
        <is>
          <t>EVT-2025-035</t>
        </is>
      </c>
      <c r="C101" s="70" t="inlineStr">
        <is>
          <t>Cordavex Webinar Amsterdam Sep 2025</t>
        </is>
      </c>
      <c r="D101" s="70" t="inlineStr">
        <is>
          <t>TechEvent Systems</t>
        </is>
      </c>
      <c r="E101" s="70" t="inlineStr">
        <is>
          <t>Registration &amp; Tech</t>
        </is>
      </c>
      <c r="F101" s="71" t="inlineStr">
        <is>
          <t>Signed</t>
        </is>
      </c>
      <c r="G101" s="71" t="inlineStr">
        <is>
          <t>PO-2025-1100</t>
        </is>
      </c>
      <c r="H101" s="71" t="inlineStr"/>
      <c r="I101" s="73" t="n">
        <v>69411.5</v>
      </c>
      <c r="J101" s="71" t="inlineStr">
        <is>
          <t>EUR</t>
        </is>
      </c>
      <c r="K101" s="93" t="inlineStr">
        <is>
          <t>Overdue</t>
        </is>
      </c>
      <c r="L101" s="157" t="n">
        <v>45908</v>
      </c>
      <c r="M101" s="76" t="inlineStr">
        <is>
          <t>Medium</t>
        </is>
      </c>
      <c r="N101" s="179" t="n">
        <v>45</v>
      </c>
      <c r="O101" s="94" t="n">
        <v>289</v>
      </c>
      <c r="P101" s="70" t="inlineStr"/>
      <c r="Q101" s="157" t="n">
        <v>46181</v>
      </c>
    </row>
    <row r="102" ht="18" customHeight="1">
      <c r="A102" s="84" t="inlineStr">
        <is>
          <t>SUP-0101</t>
        </is>
      </c>
      <c r="B102" s="85" t="inlineStr">
        <is>
          <t>EVT-2025-035</t>
        </is>
      </c>
      <c r="C102" s="86" t="inlineStr">
        <is>
          <t>Cordavex Webinar Amsterdam Sep 2025</t>
        </is>
      </c>
      <c r="D102" s="86" t="inlineStr">
        <is>
          <t>KOL Connect</t>
        </is>
      </c>
      <c r="E102" s="86" t="inlineStr">
        <is>
          <t>Speaker Management</t>
        </is>
      </c>
      <c r="F102" s="85" t="inlineStr">
        <is>
          <t>Terminated</t>
        </is>
      </c>
      <c r="G102" s="85" t="inlineStr">
        <is>
          <t>PO-2025-1101</t>
        </is>
      </c>
      <c r="H102" s="85" t="inlineStr">
        <is>
          <t>INV-01101</t>
        </is>
      </c>
      <c r="I102" s="87" t="n">
        <v>45236.68</v>
      </c>
      <c r="J102" s="85" t="inlineStr">
        <is>
          <t>EUR</t>
        </is>
      </c>
      <c r="K102" s="69" t="inlineStr">
        <is>
          <t>Paid</t>
        </is>
      </c>
      <c r="L102" s="164" t="n">
        <v>45887</v>
      </c>
      <c r="M102" s="76" t="inlineStr">
        <is>
          <t>Medium</t>
        </is>
      </c>
      <c r="N102" s="178" t="n">
        <v>60</v>
      </c>
      <c r="O102" s="90" t="n">
        <v>0</v>
      </c>
      <c r="P102" s="86" t="inlineStr"/>
      <c r="Q102" s="164" t="n">
        <v>46175</v>
      </c>
    </row>
    <row r="103" ht="18" customHeight="1">
      <c r="A103" s="84" t="inlineStr">
        <is>
          <t>SUP-0102</t>
        </is>
      </c>
      <c r="B103" s="71" t="inlineStr">
        <is>
          <t>EVT-2025-036</t>
        </is>
      </c>
      <c r="C103" s="70" t="inlineStr">
        <is>
          <t>Bioflair Internal Meeting Milan Aug 2025</t>
        </is>
      </c>
      <c r="D103" s="70" t="inlineStr">
        <is>
          <t>Compliance Expert Ltd</t>
        </is>
      </c>
      <c r="E103" s="70" t="inlineStr">
        <is>
          <t>Compliance &amp; Legal</t>
        </is>
      </c>
      <c r="F103" s="71" t="inlineStr">
        <is>
          <t>Contract Sent</t>
        </is>
      </c>
      <c r="G103" s="71" t="inlineStr">
        <is>
          <t>PO-2025-1102</t>
        </is>
      </c>
      <c r="H103" s="71" t="inlineStr">
        <is>
          <t>INV-01102</t>
        </is>
      </c>
      <c r="I103" s="73" t="n">
        <v>76702.34</v>
      </c>
      <c r="J103" s="71" t="inlineStr">
        <is>
          <t>EUR</t>
        </is>
      </c>
      <c r="K103" s="92" t="inlineStr">
        <is>
          <t>Cancelled</t>
        </is>
      </c>
      <c r="L103" s="157" t="n">
        <v>45861</v>
      </c>
      <c r="M103" s="69" t="inlineStr">
        <is>
          <t>Low</t>
        </is>
      </c>
      <c r="N103" s="179" t="n">
        <v>30</v>
      </c>
      <c r="O103" s="91" t="n">
        <v>0</v>
      </c>
      <c r="P103" s="70" t="inlineStr"/>
      <c r="Q103" s="157" t="n">
        <v>46173</v>
      </c>
    </row>
    <row r="104" ht="18" customHeight="1">
      <c r="A104" s="84" t="inlineStr">
        <is>
          <t>SUP-0103</t>
        </is>
      </c>
      <c r="B104" s="85" t="inlineStr">
        <is>
          <t>EVT-2025-036</t>
        </is>
      </c>
      <c r="C104" s="86" t="inlineStr">
        <is>
          <t>Bioflair Internal Meeting Milan Aug 2025</t>
        </is>
      </c>
      <c r="D104" s="86" t="inlineStr">
        <is>
          <t>Prime Hospitality Group</t>
        </is>
      </c>
      <c r="E104" s="86" t="inlineStr">
        <is>
          <t>Hotel &amp; Venue</t>
        </is>
      </c>
      <c r="F104" s="85" t="inlineStr">
        <is>
          <t>Closed</t>
        </is>
      </c>
      <c r="G104" s="85" t="inlineStr">
        <is>
          <t>PO-2025-1103</t>
        </is>
      </c>
      <c r="H104" s="85" t="inlineStr">
        <is>
          <t>INV-01103</t>
        </is>
      </c>
      <c r="I104" s="87" t="n">
        <v>8577.67</v>
      </c>
      <c r="J104" s="85" t="inlineStr">
        <is>
          <t>EUR</t>
        </is>
      </c>
      <c r="K104" s="88" t="inlineStr">
        <is>
          <t>Approved</t>
        </is>
      </c>
      <c r="L104" s="164" t="n">
        <v>45855</v>
      </c>
      <c r="M104" s="69" t="inlineStr">
        <is>
          <t>Low</t>
        </is>
      </c>
      <c r="N104" s="178" t="n">
        <v>60</v>
      </c>
      <c r="O104" s="90" t="n">
        <v>0</v>
      </c>
      <c r="P104" s="86" t="inlineStr"/>
      <c r="Q104" s="164" t="n">
        <v>46180</v>
      </c>
    </row>
    <row r="105" ht="18" customHeight="1">
      <c r="A105" s="84" t="inlineStr">
        <is>
          <t>SUP-0104</t>
        </is>
      </c>
      <c r="B105" s="71" t="inlineStr">
        <is>
          <t>EVT-2025-036</t>
        </is>
      </c>
      <c r="C105" s="70" t="inlineStr">
        <is>
          <t>Bioflair Internal Meeting Milan Aug 2025</t>
        </is>
      </c>
      <c r="D105" s="70" t="inlineStr">
        <is>
          <t>PharmaLogix</t>
        </is>
      </c>
      <c r="E105" s="70" t="inlineStr">
        <is>
          <t>Logistics &amp; Transport</t>
        </is>
      </c>
      <c r="F105" s="71" t="inlineStr">
        <is>
          <t>Contract Sent</t>
        </is>
      </c>
      <c r="G105" s="71" t="inlineStr">
        <is>
          <t>PO-2025-1104</t>
        </is>
      </c>
      <c r="H105" s="71" t="inlineStr">
        <is>
          <t>INV-01104</t>
        </is>
      </c>
      <c r="I105" s="73" t="n">
        <v>36274.9</v>
      </c>
      <c r="J105" s="71" t="inlineStr">
        <is>
          <t>EUR</t>
        </is>
      </c>
      <c r="K105" s="95" t="inlineStr">
        <is>
          <t>Invoiced</t>
        </is>
      </c>
      <c r="L105" s="157" t="n">
        <v>45859</v>
      </c>
      <c r="M105" s="76" t="inlineStr">
        <is>
          <t>Medium</t>
        </is>
      </c>
      <c r="N105" s="179" t="n">
        <v>90</v>
      </c>
      <c r="O105" s="91" t="n">
        <v>0</v>
      </c>
      <c r="P105" s="70" t="inlineStr"/>
      <c r="Q105" s="157" t="n">
        <v>46179</v>
      </c>
    </row>
    <row r="106" ht="18" customHeight="1">
      <c r="A106" s="84" t="inlineStr">
        <is>
          <t>SUP-0105</t>
        </is>
      </c>
      <c r="B106" s="85" t="inlineStr">
        <is>
          <t>EVT-2025-036</t>
        </is>
      </c>
      <c r="C106" s="86" t="inlineStr">
        <is>
          <t>Bioflair Internal Meeting Milan Aug 2025</t>
        </is>
      </c>
      <c r="D106" s="86" t="inlineStr">
        <is>
          <t>DigitalPharma Studio</t>
        </is>
      </c>
      <c r="E106" s="86" t="inlineStr">
        <is>
          <t>Digital &amp; Web</t>
        </is>
      </c>
      <c r="F106" s="85" t="inlineStr">
        <is>
          <t>Terminated</t>
        </is>
      </c>
      <c r="G106" s="85" t="inlineStr">
        <is>
          <t>PO-2025-1105</t>
        </is>
      </c>
      <c r="H106" s="85" t="inlineStr">
        <is>
          <t>INV-01105</t>
        </is>
      </c>
      <c r="I106" s="87" t="n">
        <v>32218.49</v>
      </c>
      <c r="J106" s="85" t="inlineStr">
        <is>
          <t>EUR</t>
        </is>
      </c>
      <c r="K106" s="96" t="inlineStr">
        <is>
          <t>Pending</t>
        </is>
      </c>
      <c r="L106" s="164" t="n">
        <v>45865</v>
      </c>
      <c r="M106" s="76" t="inlineStr">
        <is>
          <t>Medium</t>
        </is>
      </c>
      <c r="N106" s="178" t="n">
        <v>90</v>
      </c>
      <c r="O106" s="90" t="n">
        <v>0</v>
      </c>
      <c r="P106" s="86" t="inlineStr"/>
      <c r="Q106" s="164" t="n">
        <v>46176</v>
      </c>
    </row>
    <row r="107" ht="18" customHeight="1">
      <c r="A107" s="84" t="inlineStr">
        <is>
          <t>SUP-0106</t>
        </is>
      </c>
      <c r="B107" s="71" t="inlineStr">
        <is>
          <t>EVT-2025-036</t>
        </is>
      </c>
      <c r="C107" s="70" t="inlineStr">
        <is>
          <t>Bioflair Internal Meeting Milan Aug 2025</t>
        </is>
      </c>
      <c r="D107" s="70" t="inlineStr">
        <is>
          <t>Translingua Pro</t>
        </is>
      </c>
      <c r="E107" s="70" t="inlineStr">
        <is>
          <t>Translation &amp; Interpretation</t>
        </is>
      </c>
      <c r="F107" s="71" t="inlineStr">
        <is>
          <t>Signed</t>
        </is>
      </c>
      <c r="G107" s="71" t="inlineStr">
        <is>
          <t>PO-2025-1106</t>
        </is>
      </c>
      <c r="H107" s="71" t="inlineStr">
        <is>
          <t>INV-01106</t>
        </is>
      </c>
      <c r="I107" s="73" t="n">
        <v>28102.65</v>
      </c>
      <c r="J107" s="71" t="inlineStr">
        <is>
          <t>EUR</t>
        </is>
      </c>
      <c r="K107" s="76" t="inlineStr">
        <is>
          <t>Disputed</t>
        </is>
      </c>
      <c r="L107" s="157" t="n">
        <v>45865</v>
      </c>
      <c r="M107" s="69" t="inlineStr">
        <is>
          <t>Low</t>
        </is>
      </c>
      <c r="N107" s="179" t="n">
        <v>60</v>
      </c>
      <c r="O107" s="91" t="n">
        <v>0</v>
      </c>
      <c r="P107" s="70" t="inlineStr"/>
      <c r="Q107" s="157" t="n">
        <v>46169</v>
      </c>
    </row>
    <row r="108" ht="18" customHeight="1">
      <c r="A108" s="84" t="inlineStr">
        <is>
          <t>SUP-0107</t>
        </is>
      </c>
      <c r="B108" s="85" t="inlineStr">
        <is>
          <t>EVT-2025-037</t>
        </is>
      </c>
      <c r="C108" s="86" t="inlineStr">
        <is>
          <t>Orphavex Advisory Board Berlin May 2025</t>
        </is>
      </c>
      <c r="D108" s="86" t="inlineStr">
        <is>
          <t>Catering Excellence</t>
        </is>
      </c>
      <c r="E108" s="86" t="inlineStr">
        <is>
          <t>F&amp;B / Catering</t>
        </is>
      </c>
      <c r="F108" s="85" t="inlineStr">
        <is>
          <t>Closed</t>
        </is>
      </c>
      <c r="G108" s="85" t="inlineStr">
        <is>
          <t>PO-2025-1107</t>
        </is>
      </c>
      <c r="H108" s="85" t="inlineStr">
        <is>
          <t>INV-01107</t>
        </is>
      </c>
      <c r="I108" s="87" t="n">
        <v>49010.66</v>
      </c>
      <c r="J108" s="85" t="inlineStr">
        <is>
          <t>EUR</t>
        </is>
      </c>
      <c r="K108" s="93" t="inlineStr">
        <is>
          <t>Overdue</t>
        </is>
      </c>
      <c r="L108" s="164" t="n">
        <v>45782</v>
      </c>
      <c r="M108" s="69" t="inlineStr">
        <is>
          <t>Low</t>
        </is>
      </c>
      <c r="N108" s="178" t="n">
        <v>90</v>
      </c>
      <c r="O108" s="94" t="n">
        <v>415</v>
      </c>
      <c r="P108" s="86" t="inlineStr"/>
      <c r="Q108" s="164" t="n">
        <v>46172</v>
      </c>
    </row>
    <row r="109" ht="18" customHeight="1">
      <c r="A109" s="84" t="inlineStr">
        <is>
          <t>SUP-0108</t>
        </is>
      </c>
      <c r="B109" s="71" t="inlineStr">
        <is>
          <t>EVT-2025-037</t>
        </is>
      </c>
      <c r="C109" s="70" t="inlineStr">
        <is>
          <t>Orphavex Advisory Board Berlin May 2025</t>
        </is>
      </c>
      <c r="D109" s="70" t="inlineStr">
        <is>
          <t>KOL Connect</t>
        </is>
      </c>
      <c r="E109" s="70" t="inlineStr">
        <is>
          <t>Speaker Management</t>
        </is>
      </c>
      <c r="F109" s="71" t="inlineStr">
        <is>
          <t>Negotiating</t>
        </is>
      </c>
      <c r="G109" s="71" t="inlineStr">
        <is>
          <t>PO-2025-1108</t>
        </is>
      </c>
      <c r="H109" s="71" t="inlineStr"/>
      <c r="I109" s="73" t="n">
        <v>29286.02</v>
      </c>
      <c r="J109" s="71" t="inlineStr">
        <is>
          <t>EUR</t>
        </is>
      </c>
      <c r="K109" s="69" t="inlineStr">
        <is>
          <t>Paid</t>
        </is>
      </c>
      <c r="L109" s="157" t="n">
        <v>45766</v>
      </c>
      <c r="M109" s="76" t="inlineStr">
        <is>
          <t>Medium</t>
        </is>
      </c>
      <c r="N109" s="179" t="n">
        <v>30</v>
      </c>
      <c r="O109" s="91" t="n">
        <v>0</v>
      </c>
      <c r="P109" s="70" t="inlineStr"/>
      <c r="Q109" s="157" t="n">
        <v>46181</v>
      </c>
    </row>
    <row r="110" ht="18" customHeight="1">
      <c r="A110" s="84" t="inlineStr">
        <is>
          <t>SUP-0109</t>
        </is>
      </c>
      <c r="B110" s="85" t="inlineStr">
        <is>
          <t>EVT-2025-037</t>
        </is>
      </c>
      <c r="C110" s="86" t="inlineStr">
        <is>
          <t>Orphavex Advisory Board Berlin May 2025</t>
        </is>
      </c>
      <c r="D110" s="86" t="inlineStr">
        <is>
          <t>Compliance Expert Ltd</t>
        </is>
      </c>
      <c r="E110" s="86" t="inlineStr">
        <is>
          <t>Compliance &amp; Legal</t>
        </is>
      </c>
      <c r="F110" s="85" t="inlineStr">
        <is>
          <t>Terminated</t>
        </is>
      </c>
      <c r="G110" s="85" t="inlineStr">
        <is>
          <t>PO-2025-1109</t>
        </is>
      </c>
      <c r="H110" s="85" t="inlineStr">
        <is>
          <t>INV-01109</t>
        </is>
      </c>
      <c r="I110" s="87" t="n">
        <v>75164.17</v>
      </c>
      <c r="J110" s="85" t="inlineStr">
        <is>
          <t>EUR</t>
        </is>
      </c>
      <c r="K110" s="76" t="inlineStr">
        <is>
          <t>Disputed</t>
        </is>
      </c>
      <c r="L110" s="164" t="n">
        <v>45777</v>
      </c>
      <c r="M110" s="69" t="inlineStr">
        <is>
          <t>Low</t>
        </is>
      </c>
      <c r="N110" s="178" t="n">
        <v>30</v>
      </c>
      <c r="O110" s="90" t="n">
        <v>0</v>
      </c>
      <c r="P110" s="86" t="inlineStr"/>
      <c r="Q110" s="164" t="n">
        <v>46197</v>
      </c>
    </row>
    <row r="111" ht="18" customHeight="1">
      <c r="A111" s="84" t="inlineStr">
        <is>
          <t>SUP-0110</t>
        </is>
      </c>
      <c r="B111" s="71" t="inlineStr">
        <is>
          <t>EVT-2025-038</t>
        </is>
      </c>
      <c r="C111" s="70" t="inlineStr">
        <is>
          <t>Genetrix Satellite Symposium Amsterdam Jun 2025</t>
        </is>
      </c>
      <c r="D111" s="70" t="inlineStr">
        <is>
          <t>TechEvent Systems</t>
        </is>
      </c>
      <c r="E111" s="70" t="inlineStr">
        <is>
          <t>Registration &amp; Tech</t>
        </is>
      </c>
      <c r="F111" s="71" t="inlineStr">
        <is>
          <t>Closed</t>
        </is>
      </c>
      <c r="G111" s="71" t="inlineStr">
        <is>
          <t>PO-2025-1110</t>
        </is>
      </c>
      <c r="H111" s="71" t="inlineStr">
        <is>
          <t>INV-01110</t>
        </is>
      </c>
      <c r="I111" s="73" t="n">
        <v>75874.47</v>
      </c>
      <c r="J111" s="71" t="inlineStr">
        <is>
          <t>EUR</t>
        </is>
      </c>
      <c r="K111" s="96" t="inlineStr">
        <is>
          <t>Pending</t>
        </is>
      </c>
      <c r="L111" s="157" t="n">
        <v>45805</v>
      </c>
      <c r="M111" s="93" t="inlineStr">
        <is>
          <t>High</t>
        </is>
      </c>
      <c r="N111" s="179" t="n">
        <v>90</v>
      </c>
      <c r="O111" s="91" t="n">
        <v>0</v>
      </c>
      <c r="P111" s="70" t="inlineStr"/>
      <c r="Q111" s="157" t="n">
        <v>46193</v>
      </c>
    </row>
    <row r="112" ht="18" customHeight="1">
      <c r="A112" s="84" t="inlineStr">
        <is>
          <t>SUP-0111</t>
        </is>
      </c>
      <c r="B112" s="85" t="inlineStr">
        <is>
          <t>EVT-2025-038</t>
        </is>
      </c>
      <c r="C112" s="86" t="inlineStr">
        <is>
          <t>Genetrix Satellite Symposium Amsterdam Jun 2025</t>
        </is>
      </c>
      <c r="D112" s="86" t="inlineStr">
        <is>
          <t>MedAudio AV Solutions</t>
        </is>
      </c>
      <c r="E112" s="86" t="inlineStr">
        <is>
          <t>AV &amp; Technology</t>
        </is>
      </c>
      <c r="F112" s="85" t="inlineStr">
        <is>
          <t>Negotiating</t>
        </is>
      </c>
      <c r="G112" s="85" t="inlineStr">
        <is>
          <t>PO-2025-1111</t>
        </is>
      </c>
      <c r="H112" s="85" t="inlineStr">
        <is>
          <t>INV-01111</t>
        </is>
      </c>
      <c r="I112" s="87" t="n">
        <v>41662.1</v>
      </c>
      <c r="J112" s="85" t="inlineStr">
        <is>
          <t>EUR</t>
        </is>
      </c>
      <c r="K112" s="88" t="inlineStr">
        <is>
          <t>Approved</t>
        </is>
      </c>
      <c r="L112" s="164" t="n">
        <v>45826</v>
      </c>
      <c r="M112" s="69" t="inlineStr">
        <is>
          <t>Low</t>
        </is>
      </c>
      <c r="N112" s="178" t="n">
        <v>30</v>
      </c>
      <c r="O112" s="90" t="n">
        <v>0</v>
      </c>
      <c r="P112" s="86" t="inlineStr"/>
      <c r="Q112" s="164" t="n">
        <v>46176</v>
      </c>
    </row>
    <row r="113" ht="18" customHeight="1">
      <c r="A113" s="84" t="inlineStr">
        <is>
          <t>SUP-0112</t>
        </is>
      </c>
      <c r="B113" s="71" t="inlineStr">
        <is>
          <t>EVT-2025-038</t>
        </is>
      </c>
      <c r="C113" s="70" t="inlineStr">
        <is>
          <t>Genetrix Satellite Symposium Amsterdam Jun 2025</t>
        </is>
      </c>
      <c r="D113" s="70" t="inlineStr">
        <is>
          <t>Compliance Expert Ltd</t>
        </is>
      </c>
      <c r="E113" s="70" t="inlineStr">
        <is>
          <t>Compliance &amp; Legal</t>
        </is>
      </c>
      <c r="F113" s="71" t="inlineStr">
        <is>
          <t>Negotiating</t>
        </is>
      </c>
      <c r="G113" s="71" t="inlineStr">
        <is>
          <t>PO-2025-1112</t>
        </is>
      </c>
      <c r="H113" s="71" t="inlineStr">
        <is>
          <t>INV-01112</t>
        </is>
      </c>
      <c r="I113" s="73" t="n">
        <v>61760.18</v>
      </c>
      <c r="J113" s="71" t="inlineStr">
        <is>
          <t>EUR</t>
        </is>
      </c>
      <c r="K113" s="88" t="inlineStr">
        <is>
          <t>Approved</t>
        </is>
      </c>
      <c r="L113" s="157" t="n">
        <v>45820</v>
      </c>
      <c r="M113" s="69" t="inlineStr">
        <is>
          <t>Low</t>
        </is>
      </c>
      <c r="N113" s="179" t="n">
        <v>30</v>
      </c>
      <c r="O113" s="91" t="n">
        <v>0</v>
      </c>
      <c r="P113" s="70" t="inlineStr"/>
      <c r="Q113" s="157" t="n">
        <v>46191</v>
      </c>
    </row>
    <row r="114" ht="18" customHeight="1">
      <c r="A114" s="84" t="inlineStr">
        <is>
          <t>SUP-0113</t>
        </is>
      </c>
      <c r="B114" s="85" t="inlineStr">
        <is>
          <t>EVT-2025-039</t>
        </is>
      </c>
      <c r="C114" s="86" t="inlineStr">
        <is>
          <t>Rarzolene Advisory Board Athens May 2025</t>
        </is>
      </c>
      <c r="D114" s="86" t="inlineStr">
        <is>
          <t>Catering Excellence</t>
        </is>
      </c>
      <c r="E114" s="86" t="inlineStr">
        <is>
          <t>F&amp;B / Catering</t>
        </is>
      </c>
      <c r="F114" s="85" t="inlineStr">
        <is>
          <t>RFP Sent</t>
        </is>
      </c>
      <c r="G114" s="85" t="inlineStr">
        <is>
          <t>PO-2025-1113</t>
        </is>
      </c>
      <c r="H114" s="85" t="inlineStr">
        <is>
          <t>INV-01113</t>
        </is>
      </c>
      <c r="I114" s="87" t="n">
        <v>9888.98</v>
      </c>
      <c r="J114" s="85" t="inlineStr">
        <is>
          <t>EUR</t>
        </is>
      </c>
      <c r="K114" s="93" t="inlineStr">
        <is>
          <t>Overdue</t>
        </is>
      </c>
      <c r="L114" s="164" t="n">
        <v>45775</v>
      </c>
      <c r="M114" s="76" t="inlineStr">
        <is>
          <t>Medium</t>
        </is>
      </c>
      <c r="N114" s="178" t="n">
        <v>60</v>
      </c>
      <c r="O114" s="94" t="n">
        <v>422</v>
      </c>
      <c r="P114" s="86" t="inlineStr"/>
      <c r="Q114" s="164" t="n">
        <v>46173</v>
      </c>
    </row>
    <row r="115" ht="18" customHeight="1">
      <c r="A115" s="84" t="inlineStr">
        <is>
          <t>SUP-0114</t>
        </is>
      </c>
      <c r="B115" s="71" t="inlineStr">
        <is>
          <t>EVT-2025-040</t>
        </is>
      </c>
      <c r="C115" s="70" t="inlineStr">
        <is>
          <t>Rarzolene Symposium Istanbul Dec 2025</t>
        </is>
      </c>
      <c r="D115" s="70" t="inlineStr">
        <is>
          <t>HealthMarketing Group</t>
        </is>
      </c>
      <c r="E115" s="70" t="inlineStr">
        <is>
          <t>Marketing Agency</t>
        </is>
      </c>
      <c r="F115" s="71" t="inlineStr">
        <is>
          <t>Terminated</t>
        </is>
      </c>
      <c r="G115" s="71" t="inlineStr">
        <is>
          <t>PO-2025-1114</t>
        </is>
      </c>
      <c r="H115" s="71" t="inlineStr"/>
      <c r="I115" s="73" t="n">
        <v>31384.15</v>
      </c>
      <c r="J115" s="71" t="inlineStr">
        <is>
          <t>EUR</t>
        </is>
      </c>
      <c r="K115" s="76" t="inlineStr">
        <is>
          <t>Disputed</t>
        </is>
      </c>
      <c r="L115" s="157" t="n">
        <v>46007</v>
      </c>
      <c r="M115" s="69" t="inlineStr">
        <is>
          <t>Low</t>
        </is>
      </c>
      <c r="N115" s="179" t="n">
        <v>45</v>
      </c>
      <c r="O115" s="91" t="n">
        <v>0</v>
      </c>
      <c r="P115" s="70" t="inlineStr"/>
      <c r="Q115" s="157" t="n">
        <v>46188</v>
      </c>
    </row>
    <row r="116" ht="18" customHeight="1">
      <c r="A116" s="84" t="inlineStr">
        <is>
          <t>SUP-0115</t>
        </is>
      </c>
      <c r="B116" s="85" t="inlineStr">
        <is>
          <t>EVT-2025-040</t>
        </is>
      </c>
      <c r="C116" s="86" t="inlineStr">
        <is>
          <t>Rarzolene Symposium Istanbul Dec 2025</t>
        </is>
      </c>
      <c r="D116" s="86" t="inlineStr">
        <is>
          <t>Venue Masters EMEA</t>
        </is>
      </c>
      <c r="E116" s="86" t="inlineStr">
        <is>
          <t>Venue Sourcing</t>
        </is>
      </c>
      <c r="F116" s="85" t="inlineStr">
        <is>
          <t>Contract Sent</t>
        </is>
      </c>
      <c r="G116" s="85" t="inlineStr">
        <is>
          <t>PO-2025-1115</t>
        </is>
      </c>
      <c r="H116" s="85" t="inlineStr">
        <is>
          <t>INV-01115</t>
        </is>
      </c>
      <c r="I116" s="87" t="n">
        <v>72407.17</v>
      </c>
      <c r="J116" s="85" t="inlineStr">
        <is>
          <t>EUR</t>
        </is>
      </c>
      <c r="K116" s="69" t="inlineStr">
        <is>
          <t>Paid</t>
        </is>
      </c>
      <c r="L116" s="164" t="n">
        <v>45989</v>
      </c>
      <c r="M116" s="69" t="inlineStr">
        <is>
          <t>Low</t>
        </is>
      </c>
      <c r="N116" s="178" t="n">
        <v>60</v>
      </c>
      <c r="O116" s="90" t="n">
        <v>0</v>
      </c>
      <c r="P116" s="86" t="inlineStr"/>
      <c r="Q116" s="164" t="n">
        <v>46193</v>
      </c>
    </row>
    <row r="117" ht="18" customHeight="1">
      <c r="A117" s="84" t="inlineStr">
        <is>
          <t>SUP-0116</t>
        </is>
      </c>
      <c r="B117" s="71" t="inlineStr">
        <is>
          <t>EVT-2025-040</t>
        </is>
      </c>
      <c r="C117" s="70" t="inlineStr">
        <is>
          <t>Rarzolene Symposium Istanbul Dec 2025</t>
        </is>
      </c>
      <c r="D117" s="70" t="inlineStr">
        <is>
          <t>DigitalPharma Studio</t>
        </is>
      </c>
      <c r="E117" s="70" t="inlineStr">
        <is>
          <t>Digital &amp; Web</t>
        </is>
      </c>
      <c r="F117" s="71" t="inlineStr">
        <is>
          <t>Closed</t>
        </is>
      </c>
      <c r="G117" s="71" t="inlineStr">
        <is>
          <t>PO-2025-1116</t>
        </is>
      </c>
      <c r="H117" s="71" t="inlineStr">
        <is>
          <t>INV-01116</t>
        </is>
      </c>
      <c r="I117" s="73" t="n">
        <v>20527.36</v>
      </c>
      <c r="J117" s="71" t="inlineStr">
        <is>
          <t>EUR</t>
        </is>
      </c>
      <c r="K117" s="92" t="inlineStr">
        <is>
          <t>Cancelled</t>
        </is>
      </c>
      <c r="L117" s="157" t="n">
        <v>45998</v>
      </c>
      <c r="M117" s="76" t="inlineStr">
        <is>
          <t>Medium</t>
        </is>
      </c>
      <c r="N117" s="179" t="n">
        <v>30</v>
      </c>
      <c r="O117" s="91" t="n">
        <v>0</v>
      </c>
      <c r="P117" s="70" t="inlineStr"/>
      <c r="Q117" s="157" t="n">
        <v>46175</v>
      </c>
    </row>
    <row r="118" ht="18" customHeight="1">
      <c r="A118" s="84" t="inlineStr">
        <is>
          <t>SUP-0117</t>
        </is>
      </c>
      <c r="B118" s="85" t="inlineStr">
        <is>
          <t>EVT-2025-041</t>
        </is>
      </c>
      <c r="C118" s="86" t="inlineStr">
        <is>
          <t>Cognivex Congress Brussels Oct 2025</t>
        </is>
      </c>
      <c r="D118" s="86" t="inlineStr">
        <is>
          <t>Prime Hospitality Group</t>
        </is>
      </c>
      <c r="E118" s="86" t="inlineStr">
        <is>
          <t>Hotel &amp; Venue</t>
        </is>
      </c>
      <c r="F118" s="85" t="inlineStr">
        <is>
          <t>Signed</t>
        </is>
      </c>
      <c r="G118" s="85" t="inlineStr">
        <is>
          <t>PO-2025-1117</t>
        </is>
      </c>
      <c r="H118" s="85" t="inlineStr">
        <is>
          <t>INV-01117</t>
        </is>
      </c>
      <c r="I118" s="87" t="n">
        <v>63180.88</v>
      </c>
      <c r="J118" s="85" t="inlineStr">
        <is>
          <t>EUR</t>
        </is>
      </c>
      <c r="K118" s="93" t="inlineStr">
        <is>
          <t>Overdue</t>
        </is>
      </c>
      <c r="L118" s="164" t="n">
        <v>45943</v>
      </c>
      <c r="M118" s="69" t="inlineStr">
        <is>
          <t>Low</t>
        </is>
      </c>
      <c r="N118" s="178" t="n">
        <v>60</v>
      </c>
      <c r="O118" s="94" t="n">
        <v>254</v>
      </c>
      <c r="P118" s="86" t="inlineStr"/>
      <c r="Q118" s="164" t="n">
        <v>46191</v>
      </c>
    </row>
    <row r="119" ht="18" customHeight="1">
      <c r="A119" s="84" t="inlineStr">
        <is>
          <t>SUP-0118</t>
        </is>
      </c>
      <c r="B119" s="71" t="inlineStr">
        <is>
          <t>EVT-2025-041</t>
        </is>
      </c>
      <c r="C119" s="70" t="inlineStr">
        <is>
          <t>Cognivex Congress Brussels Oct 2025</t>
        </is>
      </c>
      <c r="D119" s="70" t="inlineStr">
        <is>
          <t>PrintMed Solutions</t>
        </is>
      </c>
      <c r="E119" s="70" t="inlineStr">
        <is>
          <t>Print &amp; Production</t>
        </is>
      </c>
      <c r="F119" s="71" t="inlineStr">
        <is>
          <t>Negotiating</t>
        </is>
      </c>
      <c r="G119" s="71" t="inlineStr">
        <is>
          <t>PO-2025-1118</t>
        </is>
      </c>
      <c r="H119" s="71" t="inlineStr">
        <is>
          <t>INV-01118</t>
        </is>
      </c>
      <c r="I119" s="73" t="n">
        <v>23978.2</v>
      </c>
      <c r="J119" s="71" t="inlineStr">
        <is>
          <t>EUR</t>
        </is>
      </c>
      <c r="K119" s="69" t="inlineStr">
        <is>
          <t>Paid</t>
        </is>
      </c>
      <c r="L119" s="157" t="n">
        <v>45937</v>
      </c>
      <c r="M119" s="69" t="inlineStr">
        <is>
          <t>Low</t>
        </is>
      </c>
      <c r="N119" s="179" t="n">
        <v>30</v>
      </c>
      <c r="O119" s="91" t="n">
        <v>0</v>
      </c>
      <c r="P119" s="70" t="inlineStr"/>
      <c r="Q119" s="157" t="n">
        <v>46186</v>
      </c>
    </row>
    <row r="120" ht="18" customHeight="1">
      <c r="A120" s="84" t="inlineStr">
        <is>
          <t>SUP-0119</t>
        </is>
      </c>
      <c r="B120" s="85" t="inlineStr">
        <is>
          <t>EVT-2025-041</t>
        </is>
      </c>
      <c r="C120" s="86" t="inlineStr">
        <is>
          <t>Cognivex Congress Brussels Oct 2025</t>
        </is>
      </c>
      <c r="D120" s="86" t="inlineStr">
        <is>
          <t>HealthMarketing Group</t>
        </is>
      </c>
      <c r="E120" s="86" t="inlineStr">
        <is>
          <t>Marketing Agency</t>
        </is>
      </c>
      <c r="F120" s="85" t="inlineStr">
        <is>
          <t>Closed</t>
        </is>
      </c>
      <c r="G120" s="85" t="inlineStr">
        <is>
          <t>PO-2025-1119</t>
        </is>
      </c>
      <c r="H120" s="85" t="inlineStr">
        <is>
          <t>INV-01119</t>
        </is>
      </c>
      <c r="I120" s="87" t="n">
        <v>64498.22</v>
      </c>
      <c r="J120" s="85" t="inlineStr">
        <is>
          <t>EUR</t>
        </is>
      </c>
      <c r="K120" s="96" t="inlineStr">
        <is>
          <t>Pending</t>
        </is>
      </c>
      <c r="L120" s="164" t="n">
        <v>45945</v>
      </c>
      <c r="M120" s="76" t="inlineStr">
        <is>
          <t>Medium</t>
        </is>
      </c>
      <c r="N120" s="178" t="n">
        <v>90</v>
      </c>
      <c r="O120" s="90" t="n">
        <v>0</v>
      </c>
      <c r="P120" s="86" t="inlineStr"/>
      <c r="Q120" s="164" t="n">
        <v>46194</v>
      </c>
    </row>
    <row r="121" ht="18" customHeight="1">
      <c r="A121" s="84" t="inlineStr">
        <is>
          <t>SUP-0120</t>
        </is>
      </c>
      <c r="B121" s="71" t="inlineStr">
        <is>
          <t>EVT-2025-041</t>
        </is>
      </c>
      <c r="C121" s="70" t="inlineStr">
        <is>
          <t>Cognivex Congress Brussels Oct 2025</t>
        </is>
      </c>
      <c r="D121" s="70" t="inlineStr">
        <is>
          <t>Catering Excellence</t>
        </is>
      </c>
      <c r="E121" s="70" t="inlineStr">
        <is>
          <t>F&amp;B / Catering</t>
        </is>
      </c>
      <c r="F121" s="71" t="inlineStr">
        <is>
          <t>Terminated</t>
        </is>
      </c>
      <c r="G121" s="71" t="inlineStr">
        <is>
          <t>PO-2025-1120</t>
        </is>
      </c>
      <c r="H121" s="71" t="inlineStr">
        <is>
          <t>INV-01120</t>
        </is>
      </c>
      <c r="I121" s="73" t="n">
        <v>30954.54</v>
      </c>
      <c r="J121" s="71" t="inlineStr">
        <is>
          <t>EUR</t>
        </is>
      </c>
      <c r="K121" s="93" t="inlineStr">
        <is>
          <t>Overdue</t>
        </is>
      </c>
      <c r="L121" s="157" t="n">
        <v>45946</v>
      </c>
      <c r="M121" s="76" t="inlineStr">
        <is>
          <t>Medium</t>
        </is>
      </c>
      <c r="N121" s="179" t="n">
        <v>45</v>
      </c>
      <c r="O121" s="94" t="n">
        <v>251</v>
      </c>
      <c r="P121" s="70" t="inlineStr"/>
      <c r="Q121" s="157" t="n">
        <v>46174</v>
      </c>
    </row>
    <row r="122" ht="18" customHeight="1">
      <c r="A122" s="84" t="inlineStr">
        <is>
          <t>SUP-0121</t>
        </is>
      </c>
      <c r="B122" s="85" t="inlineStr">
        <is>
          <t>EVT-2025-042</t>
        </is>
      </c>
      <c r="C122" s="86" t="inlineStr">
        <is>
          <t>Antivex Launch Event Amsterdam Dec 2025</t>
        </is>
      </c>
      <c r="D122" s="86" t="inlineStr">
        <is>
          <t>Catering Excellence</t>
        </is>
      </c>
      <c r="E122" s="86" t="inlineStr">
        <is>
          <t>F&amp;B / Catering</t>
        </is>
      </c>
      <c r="F122" s="85" t="inlineStr">
        <is>
          <t>Terminated</t>
        </is>
      </c>
      <c r="G122" s="85" t="inlineStr">
        <is>
          <t>PO-2025-1121</t>
        </is>
      </c>
      <c r="H122" s="85" t="inlineStr"/>
      <c r="I122" s="87" t="n">
        <v>14504.36</v>
      </c>
      <c r="J122" s="85" t="inlineStr">
        <is>
          <t>EUR</t>
        </is>
      </c>
      <c r="K122" s="88" t="inlineStr">
        <is>
          <t>Approved</t>
        </is>
      </c>
      <c r="L122" s="164" t="n">
        <v>45986</v>
      </c>
      <c r="M122" s="93" t="inlineStr">
        <is>
          <t>High</t>
        </is>
      </c>
      <c r="N122" s="178" t="n">
        <v>90</v>
      </c>
      <c r="O122" s="90" t="n">
        <v>0</v>
      </c>
      <c r="P122" s="86" t="inlineStr"/>
      <c r="Q122" s="164" t="n">
        <v>46190</v>
      </c>
    </row>
    <row r="123" ht="18" customHeight="1">
      <c r="A123" s="84" t="inlineStr">
        <is>
          <t>SUP-0122</t>
        </is>
      </c>
      <c r="B123" s="71" t="inlineStr">
        <is>
          <t>EVT-2025-043</t>
        </is>
      </c>
      <c r="C123" s="70" t="inlineStr">
        <is>
          <t>Ferrozol Speaker Program Vienna Mar 2025</t>
        </is>
      </c>
      <c r="D123" s="70" t="inlineStr">
        <is>
          <t>InterCongress PCO</t>
        </is>
      </c>
      <c r="E123" s="70" t="inlineStr">
        <is>
          <t>PCO / Event Agency</t>
        </is>
      </c>
      <c r="F123" s="71" t="inlineStr">
        <is>
          <t>Signed</t>
        </is>
      </c>
      <c r="G123" s="71" t="inlineStr">
        <is>
          <t>PO-2025-1122</t>
        </is>
      </c>
      <c r="H123" s="71" t="inlineStr">
        <is>
          <t>INV-01122</t>
        </is>
      </c>
      <c r="I123" s="73" t="n">
        <v>34361.96</v>
      </c>
      <c r="J123" s="71" t="inlineStr">
        <is>
          <t>EUR</t>
        </is>
      </c>
      <c r="K123" s="88" t="inlineStr">
        <is>
          <t>Approved</t>
        </is>
      </c>
      <c r="L123" s="157" t="n">
        <v>45722</v>
      </c>
      <c r="M123" s="69" t="inlineStr">
        <is>
          <t>Low</t>
        </is>
      </c>
      <c r="N123" s="179" t="n">
        <v>60</v>
      </c>
      <c r="O123" s="91" t="n">
        <v>0</v>
      </c>
      <c r="P123" s="70" t="inlineStr"/>
      <c r="Q123" s="157" t="n">
        <v>46175</v>
      </c>
    </row>
    <row r="124" ht="18" customHeight="1">
      <c r="A124" s="84" t="inlineStr">
        <is>
          <t>SUP-0123</t>
        </is>
      </c>
      <c r="B124" s="85" t="inlineStr">
        <is>
          <t>EVT-2025-043</t>
        </is>
      </c>
      <c r="C124" s="86" t="inlineStr">
        <is>
          <t>Ferrozol Speaker Program Vienna Mar 2025</t>
        </is>
      </c>
      <c r="D124" s="86" t="inlineStr">
        <is>
          <t>Prime Hospitality Group</t>
        </is>
      </c>
      <c r="E124" s="86" t="inlineStr">
        <is>
          <t>Hotel &amp; Venue</t>
        </is>
      </c>
      <c r="F124" s="85" t="inlineStr">
        <is>
          <t>Terminated</t>
        </is>
      </c>
      <c r="G124" s="85" t="inlineStr">
        <is>
          <t>PO-2025-1123</t>
        </is>
      </c>
      <c r="H124" s="85" t="inlineStr">
        <is>
          <t>INV-01123</t>
        </is>
      </c>
      <c r="I124" s="87" t="n">
        <v>31243.19</v>
      </c>
      <c r="J124" s="85" t="inlineStr">
        <is>
          <t>EUR</t>
        </is>
      </c>
      <c r="K124" s="96" t="inlineStr">
        <is>
          <t>Pending</t>
        </is>
      </c>
      <c r="L124" s="164" t="n">
        <v>45734</v>
      </c>
      <c r="M124" s="69" t="inlineStr">
        <is>
          <t>Low</t>
        </is>
      </c>
      <c r="N124" s="178" t="n">
        <v>30</v>
      </c>
      <c r="O124" s="90" t="n">
        <v>0</v>
      </c>
      <c r="P124" s="86" t="inlineStr"/>
      <c r="Q124" s="164" t="n">
        <v>46168</v>
      </c>
    </row>
    <row r="125" ht="18" customHeight="1">
      <c r="A125" s="84" t="inlineStr">
        <is>
          <t>SUP-0124</t>
        </is>
      </c>
      <c r="B125" s="71" t="inlineStr">
        <is>
          <t>EVT-2025-043</t>
        </is>
      </c>
      <c r="C125" s="70" t="inlineStr">
        <is>
          <t>Ferrozol Speaker Program Vienna Mar 2025</t>
        </is>
      </c>
      <c r="D125" s="70" t="inlineStr">
        <is>
          <t>Translingua Pro</t>
        </is>
      </c>
      <c r="E125" s="70" t="inlineStr">
        <is>
          <t>Translation &amp; Interpretation</t>
        </is>
      </c>
      <c r="F125" s="71" t="inlineStr">
        <is>
          <t>Terminated</t>
        </is>
      </c>
      <c r="G125" s="71" t="inlineStr">
        <is>
          <t>PO-2025-1124</t>
        </is>
      </c>
      <c r="H125" s="71" t="inlineStr">
        <is>
          <t>INV-01124</t>
        </is>
      </c>
      <c r="I125" s="73" t="n">
        <v>28152.65</v>
      </c>
      <c r="J125" s="71" t="inlineStr">
        <is>
          <t>EUR</t>
        </is>
      </c>
      <c r="K125" s="95" t="inlineStr">
        <is>
          <t>Invoiced</t>
        </is>
      </c>
      <c r="L125" s="157" t="n">
        <v>45730</v>
      </c>
      <c r="M125" s="69" t="inlineStr">
        <is>
          <t>Low</t>
        </is>
      </c>
      <c r="N125" s="179" t="n">
        <v>90</v>
      </c>
      <c r="O125" s="91" t="n">
        <v>0</v>
      </c>
      <c r="P125" s="70" t="inlineStr"/>
      <c r="Q125" s="157" t="n">
        <v>46185</v>
      </c>
    </row>
    <row r="126" ht="18" customHeight="1">
      <c r="A126" s="84" t="inlineStr">
        <is>
          <t>SUP-0125</t>
        </is>
      </c>
      <c r="B126" s="85" t="inlineStr">
        <is>
          <t>EVT-2025-043</t>
        </is>
      </c>
      <c r="C126" s="86" t="inlineStr">
        <is>
          <t>Ferrozol Speaker Program Vienna Mar 2025</t>
        </is>
      </c>
      <c r="D126" s="86" t="inlineStr">
        <is>
          <t>PharmaLogix</t>
        </is>
      </c>
      <c r="E126" s="86" t="inlineStr">
        <is>
          <t>Logistics &amp; Transport</t>
        </is>
      </c>
      <c r="F126" s="85" t="inlineStr">
        <is>
          <t>RFP Sent</t>
        </is>
      </c>
      <c r="G126" s="85" t="inlineStr">
        <is>
          <t>PO-2025-1125</t>
        </is>
      </c>
      <c r="H126" s="85" t="inlineStr">
        <is>
          <t>INV-01125</t>
        </is>
      </c>
      <c r="I126" s="87" t="n">
        <v>66826.62</v>
      </c>
      <c r="J126" s="85" t="inlineStr">
        <is>
          <t>EUR</t>
        </is>
      </c>
      <c r="K126" s="93" t="inlineStr">
        <is>
          <t>Overdue</t>
        </is>
      </c>
      <c r="L126" s="164" t="n">
        <v>45712</v>
      </c>
      <c r="M126" s="69" t="inlineStr">
        <is>
          <t>Low</t>
        </is>
      </c>
      <c r="N126" s="178" t="n">
        <v>90</v>
      </c>
      <c r="O126" s="94" t="n">
        <v>485</v>
      </c>
      <c r="P126" s="86" t="inlineStr"/>
      <c r="Q126" s="164" t="n">
        <v>46167</v>
      </c>
    </row>
    <row r="127" ht="18" customHeight="1">
      <c r="A127" s="84" t="inlineStr">
        <is>
          <t>SUP-0126</t>
        </is>
      </c>
      <c r="B127" s="71" t="inlineStr">
        <is>
          <t>EVT-2025-044</t>
        </is>
      </c>
      <c r="C127" s="70" t="inlineStr">
        <is>
          <t>Vaccinade KOL Meeting Zurich Mar 2025</t>
        </is>
      </c>
      <c r="D127" s="70" t="inlineStr">
        <is>
          <t>AVIAWORLD Travel</t>
        </is>
      </c>
      <c r="E127" s="70" t="inlineStr">
        <is>
          <t>Travel &amp; Air</t>
        </is>
      </c>
      <c r="F127" s="71" t="inlineStr">
        <is>
          <t>Active</t>
        </is>
      </c>
      <c r="G127" s="71" t="inlineStr">
        <is>
          <t>PO-2025-1126</t>
        </is>
      </c>
      <c r="H127" s="71" t="inlineStr"/>
      <c r="I127" s="73" t="n">
        <v>67127.12</v>
      </c>
      <c r="J127" s="71" t="inlineStr">
        <is>
          <t>EUR</t>
        </is>
      </c>
      <c r="K127" s="93" t="inlineStr">
        <is>
          <t>Overdue</t>
        </is>
      </c>
      <c r="L127" s="157" t="n">
        <v>45715</v>
      </c>
      <c r="M127" s="93" t="inlineStr">
        <is>
          <t>High</t>
        </is>
      </c>
      <c r="N127" s="179" t="n">
        <v>60</v>
      </c>
      <c r="O127" s="94" t="n">
        <v>482</v>
      </c>
      <c r="P127" s="70" t="inlineStr"/>
      <c r="Q127" s="157" t="n">
        <v>46167</v>
      </c>
    </row>
    <row r="128" ht="18" customHeight="1">
      <c r="A128" s="84" t="inlineStr">
        <is>
          <t>SUP-0127</t>
        </is>
      </c>
      <c r="B128" s="85" t="inlineStr">
        <is>
          <t>EVT-2025-045</t>
        </is>
      </c>
      <c r="C128" s="86" t="inlineStr">
        <is>
          <t>Imunexal Symposium Brussels Jun 2025</t>
        </is>
      </c>
      <c r="D128" s="86" t="inlineStr">
        <is>
          <t>InterCongress PCO</t>
        </is>
      </c>
      <c r="E128" s="86" t="inlineStr">
        <is>
          <t>PCO / Event Agency</t>
        </is>
      </c>
      <c r="F128" s="85" t="inlineStr">
        <is>
          <t>Signed</t>
        </is>
      </c>
      <c r="G128" s="85" t="inlineStr">
        <is>
          <t>PO-2025-1127</t>
        </is>
      </c>
      <c r="H128" s="85" t="inlineStr">
        <is>
          <t>INV-01127</t>
        </is>
      </c>
      <c r="I128" s="87" t="n">
        <v>5724.46</v>
      </c>
      <c r="J128" s="85" t="inlineStr">
        <is>
          <t>EUR</t>
        </is>
      </c>
      <c r="K128" s="93" t="inlineStr">
        <is>
          <t>Overdue</t>
        </is>
      </c>
      <c r="L128" s="164" t="n">
        <v>45794</v>
      </c>
      <c r="M128" s="76" t="inlineStr">
        <is>
          <t>Medium</t>
        </is>
      </c>
      <c r="N128" s="178" t="n">
        <v>30</v>
      </c>
      <c r="O128" s="94" t="n">
        <v>403</v>
      </c>
      <c r="P128" s="86" t="inlineStr"/>
      <c r="Q128" s="164" t="n">
        <v>46197</v>
      </c>
    </row>
    <row r="129" ht="18" customHeight="1">
      <c r="A129" s="84" t="inlineStr">
        <is>
          <t>SUP-0128</t>
        </is>
      </c>
      <c r="B129" s="71" t="inlineStr">
        <is>
          <t>EVT-2025-045</t>
        </is>
      </c>
      <c r="C129" s="70" t="inlineStr">
        <is>
          <t>Imunexal Symposium Brussels Jun 2025</t>
        </is>
      </c>
      <c r="D129" s="70" t="inlineStr">
        <is>
          <t>Venue Masters EMEA</t>
        </is>
      </c>
      <c r="E129" s="70" t="inlineStr">
        <is>
          <t>Venue Sourcing</t>
        </is>
      </c>
      <c r="F129" s="71" t="inlineStr">
        <is>
          <t>Closed</t>
        </is>
      </c>
      <c r="G129" s="71" t="inlineStr">
        <is>
          <t>PO-2025-1128</t>
        </is>
      </c>
      <c r="H129" s="71" t="inlineStr"/>
      <c r="I129" s="73" t="n">
        <v>67261.64</v>
      </c>
      <c r="J129" s="71" t="inlineStr">
        <is>
          <t>EUR</t>
        </is>
      </c>
      <c r="K129" s="96" t="inlineStr">
        <is>
          <t>Pending</t>
        </is>
      </c>
      <c r="L129" s="157" t="n">
        <v>45792</v>
      </c>
      <c r="M129" s="69" t="inlineStr">
        <is>
          <t>Low</t>
        </is>
      </c>
      <c r="N129" s="179" t="n">
        <v>60</v>
      </c>
      <c r="O129" s="91" t="n">
        <v>0</v>
      </c>
      <c r="P129" s="70" t="inlineStr"/>
      <c r="Q129" s="157" t="n">
        <v>46191</v>
      </c>
    </row>
    <row r="130" ht="18" customHeight="1">
      <c r="A130" s="84" t="inlineStr">
        <is>
          <t>SUP-0129</t>
        </is>
      </c>
      <c r="B130" s="85" t="inlineStr">
        <is>
          <t>EVT-2025-045</t>
        </is>
      </c>
      <c r="C130" s="86" t="inlineStr">
        <is>
          <t>Imunexal Symposium Brussels Jun 2025</t>
        </is>
      </c>
      <c r="D130" s="86" t="inlineStr">
        <is>
          <t>Catering Excellence</t>
        </is>
      </c>
      <c r="E130" s="86" t="inlineStr">
        <is>
          <t>F&amp;B / Catering</t>
        </is>
      </c>
      <c r="F130" s="85" t="inlineStr">
        <is>
          <t>Active</t>
        </is>
      </c>
      <c r="G130" s="85" t="inlineStr">
        <is>
          <t>PO-2025-1129</t>
        </is>
      </c>
      <c r="H130" s="85" t="inlineStr">
        <is>
          <t>INV-01129</t>
        </is>
      </c>
      <c r="I130" s="87" t="n">
        <v>20871.17</v>
      </c>
      <c r="J130" s="85" t="inlineStr">
        <is>
          <t>EUR</t>
        </is>
      </c>
      <c r="K130" s="96" t="inlineStr">
        <is>
          <t>Pending</t>
        </is>
      </c>
      <c r="L130" s="164" t="n">
        <v>45803</v>
      </c>
      <c r="M130" s="69" t="inlineStr">
        <is>
          <t>Low</t>
        </is>
      </c>
      <c r="N130" s="178" t="n">
        <v>90</v>
      </c>
      <c r="O130" s="90" t="n">
        <v>0</v>
      </c>
      <c r="P130" s="86" t="inlineStr"/>
      <c r="Q130" s="164" t="n">
        <v>46171</v>
      </c>
    </row>
    <row r="131" ht="18" customHeight="1">
      <c r="A131" s="84" t="inlineStr">
        <is>
          <t>SUP-0130</t>
        </is>
      </c>
      <c r="B131" s="71" t="inlineStr">
        <is>
          <t>EVT-2025-045</t>
        </is>
      </c>
      <c r="C131" s="70" t="inlineStr">
        <is>
          <t>Imunexal Symposium Brussels Jun 2025</t>
        </is>
      </c>
      <c r="D131" s="70" t="inlineStr">
        <is>
          <t>Prime Hospitality Group</t>
        </is>
      </c>
      <c r="E131" s="70" t="inlineStr">
        <is>
          <t>Hotel &amp; Venue</t>
        </is>
      </c>
      <c r="F131" s="71" t="inlineStr">
        <is>
          <t>Active</t>
        </is>
      </c>
      <c r="G131" s="71" t="inlineStr">
        <is>
          <t>PO-2025-1130</t>
        </is>
      </c>
      <c r="H131" s="71" t="inlineStr">
        <is>
          <t>INV-01130</t>
        </is>
      </c>
      <c r="I131" s="73" t="n">
        <v>46511.77</v>
      </c>
      <c r="J131" s="71" t="inlineStr">
        <is>
          <t>EUR</t>
        </is>
      </c>
      <c r="K131" s="96" t="inlineStr">
        <is>
          <t>Pending</t>
        </is>
      </c>
      <c r="L131" s="157" t="n">
        <v>45802</v>
      </c>
      <c r="M131" s="76" t="inlineStr">
        <is>
          <t>Medium</t>
        </is>
      </c>
      <c r="N131" s="179" t="n">
        <v>45</v>
      </c>
      <c r="O131" s="91" t="n">
        <v>0</v>
      </c>
      <c r="P131" s="70" t="inlineStr"/>
      <c r="Q131" s="157" t="n">
        <v>46168</v>
      </c>
    </row>
    <row r="132" ht="18" customHeight="1">
      <c r="A132" s="84" t="inlineStr">
        <is>
          <t>SUP-0131</t>
        </is>
      </c>
      <c r="B132" s="85" t="inlineStr">
        <is>
          <t>EVT-2025-046</t>
        </is>
      </c>
      <c r="C132" s="86" t="inlineStr">
        <is>
          <t>Vaccinade Advisory Board Zurich Jun 2025</t>
        </is>
      </c>
      <c r="D132" s="86" t="inlineStr">
        <is>
          <t>InterCongress PCO</t>
        </is>
      </c>
      <c r="E132" s="86" t="inlineStr">
        <is>
          <t>PCO / Event Agency</t>
        </is>
      </c>
      <c r="F132" s="85" t="inlineStr">
        <is>
          <t>Signed</t>
        </is>
      </c>
      <c r="G132" s="85" t="inlineStr">
        <is>
          <t>PO-2025-1131</t>
        </is>
      </c>
      <c r="H132" s="85" t="inlineStr">
        <is>
          <t>INV-01131</t>
        </is>
      </c>
      <c r="I132" s="87" t="n">
        <v>79089.86</v>
      </c>
      <c r="J132" s="85" t="inlineStr">
        <is>
          <t>EUR</t>
        </is>
      </c>
      <c r="K132" s="92" t="inlineStr">
        <is>
          <t>Cancelled</t>
        </is>
      </c>
      <c r="L132" s="164" t="n">
        <v>45813</v>
      </c>
      <c r="M132" s="69" t="inlineStr">
        <is>
          <t>Low</t>
        </is>
      </c>
      <c r="N132" s="178" t="n">
        <v>60</v>
      </c>
      <c r="O132" s="90" t="n">
        <v>0</v>
      </c>
      <c r="P132" s="86" t="inlineStr"/>
      <c r="Q132" s="164" t="n">
        <v>46173</v>
      </c>
    </row>
    <row r="133" ht="18" customHeight="1">
      <c r="A133" s="84" t="inlineStr">
        <is>
          <t>SUP-0132</t>
        </is>
      </c>
      <c r="B133" s="71" t="inlineStr">
        <is>
          <t>EVT-2025-046</t>
        </is>
      </c>
      <c r="C133" s="70" t="inlineStr">
        <is>
          <t>Vaccinade Advisory Board Zurich Jun 2025</t>
        </is>
      </c>
      <c r="D133" s="70" t="inlineStr">
        <is>
          <t>PrintMed Solutions</t>
        </is>
      </c>
      <c r="E133" s="70" t="inlineStr">
        <is>
          <t>Print &amp; Production</t>
        </is>
      </c>
      <c r="F133" s="71" t="inlineStr">
        <is>
          <t>Contract Sent</t>
        </is>
      </c>
      <c r="G133" s="71" t="inlineStr">
        <is>
          <t>PO-2025-1132</t>
        </is>
      </c>
      <c r="H133" s="71" t="inlineStr"/>
      <c r="I133" s="73" t="n">
        <v>32176.74</v>
      </c>
      <c r="J133" s="71" t="inlineStr">
        <is>
          <t>EUR</t>
        </is>
      </c>
      <c r="K133" s="96" t="inlineStr">
        <is>
          <t>Pending</t>
        </is>
      </c>
      <c r="L133" s="157" t="n">
        <v>45819</v>
      </c>
      <c r="M133" s="69" t="inlineStr">
        <is>
          <t>Low</t>
        </is>
      </c>
      <c r="N133" s="179" t="n">
        <v>45</v>
      </c>
      <c r="O133" s="91" t="n">
        <v>0</v>
      </c>
      <c r="P133" s="70" t="inlineStr"/>
      <c r="Q133" s="157" t="n">
        <v>46173</v>
      </c>
    </row>
    <row r="134" ht="18" customHeight="1">
      <c r="A134" s="84" t="inlineStr">
        <is>
          <t>SUP-0133</t>
        </is>
      </c>
      <c r="B134" s="85" t="inlineStr">
        <is>
          <t>EVT-2025-046</t>
        </is>
      </c>
      <c r="C134" s="86" t="inlineStr">
        <is>
          <t>Vaccinade Advisory Board Zurich Jun 2025</t>
        </is>
      </c>
      <c r="D134" s="86" t="inlineStr">
        <is>
          <t>TechEvent Systems</t>
        </is>
      </c>
      <c r="E134" s="86" t="inlineStr">
        <is>
          <t>Registration &amp; Tech</t>
        </is>
      </c>
      <c r="F134" s="85" t="inlineStr">
        <is>
          <t>Terminated</t>
        </is>
      </c>
      <c r="G134" s="85" t="inlineStr">
        <is>
          <t>PO-2025-1133</t>
        </is>
      </c>
      <c r="H134" s="85" t="inlineStr">
        <is>
          <t>INV-01133</t>
        </is>
      </c>
      <c r="I134" s="87" t="n">
        <v>28894.59</v>
      </c>
      <c r="J134" s="85" t="inlineStr">
        <is>
          <t>EUR</t>
        </is>
      </c>
      <c r="K134" s="96" t="inlineStr">
        <is>
          <t>Pending</t>
        </is>
      </c>
      <c r="L134" s="164" t="n">
        <v>45807</v>
      </c>
      <c r="M134" s="76" t="inlineStr">
        <is>
          <t>Medium</t>
        </is>
      </c>
      <c r="N134" s="178" t="n">
        <v>45</v>
      </c>
      <c r="O134" s="90" t="n">
        <v>0</v>
      </c>
      <c r="P134" s="86" t="inlineStr"/>
      <c r="Q134" s="164" t="n">
        <v>46188</v>
      </c>
    </row>
    <row r="135" ht="18" customHeight="1">
      <c r="A135" s="84" t="inlineStr">
        <is>
          <t>SUP-0134</t>
        </is>
      </c>
      <c r="B135" s="71" t="inlineStr">
        <is>
          <t>EVT-2025-047</t>
        </is>
      </c>
      <c r="C135" s="70" t="inlineStr">
        <is>
          <t>Nexolimab Internal Meeting Milan Oct 2025</t>
        </is>
      </c>
      <c r="D135" s="70" t="inlineStr">
        <is>
          <t>KOL Connect</t>
        </is>
      </c>
      <c r="E135" s="70" t="inlineStr">
        <is>
          <t>Speaker Management</t>
        </is>
      </c>
      <c r="F135" s="71" t="inlineStr">
        <is>
          <t>Closed</t>
        </is>
      </c>
      <c r="G135" s="71" t="inlineStr">
        <is>
          <t>PO-2025-1134</t>
        </is>
      </c>
      <c r="H135" s="71" t="inlineStr">
        <is>
          <t>INV-01134</t>
        </is>
      </c>
      <c r="I135" s="73" t="n">
        <v>28406.69</v>
      </c>
      <c r="J135" s="71" t="inlineStr">
        <is>
          <t>EUR</t>
        </is>
      </c>
      <c r="K135" s="92" t="inlineStr">
        <is>
          <t>Cancelled</t>
        </is>
      </c>
      <c r="L135" s="157" t="n">
        <v>45928</v>
      </c>
      <c r="M135" s="69" t="inlineStr">
        <is>
          <t>Low</t>
        </is>
      </c>
      <c r="N135" s="179" t="n">
        <v>90</v>
      </c>
      <c r="O135" s="91" t="n">
        <v>0</v>
      </c>
      <c r="P135" s="70" t="inlineStr"/>
      <c r="Q135" s="157" t="n">
        <v>46192</v>
      </c>
    </row>
    <row r="136" ht="18" customHeight="1">
      <c r="A136" s="84" t="inlineStr">
        <is>
          <t>SUP-0135</t>
        </is>
      </c>
      <c r="B136" s="85" t="inlineStr">
        <is>
          <t>EVT-2025-047</t>
        </is>
      </c>
      <c r="C136" s="86" t="inlineStr">
        <is>
          <t>Nexolimab Internal Meeting Milan Oct 2025</t>
        </is>
      </c>
      <c r="D136" s="86" t="inlineStr">
        <is>
          <t>Venue Masters EMEA</t>
        </is>
      </c>
      <c r="E136" s="86" t="inlineStr">
        <is>
          <t>Venue Sourcing</t>
        </is>
      </c>
      <c r="F136" s="85" t="inlineStr">
        <is>
          <t>RFP Sent</t>
        </is>
      </c>
      <c r="G136" s="85" t="inlineStr">
        <is>
          <t>PO-2025-1135</t>
        </is>
      </c>
      <c r="H136" s="85" t="inlineStr">
        <is>
          <t>INV-01135</t>
        </is>
      </c>
      <c r="I136" s="87" t="n">
        <v>56240.36</v>
      </c>
      <c r="J136" s="85" t="inlineStr">
        <is>
          <t>EUR</t>
        </is>
      </c>
      <c r="K136" s="88" t="inlineStr">
        <is>
          <t>Approved</t>
        </is>
      </c>
      <c r="L136" s="164" t="n">
        <v>45928</v>
      </c>
      <c r="M136" s="69" t="inlineStr">
        <is>
          <t>Low</t>
        </is>
      </c>
      <c r="N136" s="178" t="n">
        <v>30</v>
      </c>
      <c r="O136" s="90" t="n">
        <v>0</v>
      </c>
      <c r="P136" s="86" t="inlineStr"/>
      <c r="Q136" s="164" t="n">
        <v>46192</v>
      </c>
    </row>
    <row r="137" ht="18" customHeight="1">
      <c r="A137" s="84" t="inlineStr">
        <is>
          <t>SUP-0136</t>
        </is>
      </c>
      <c r="B137" s="71" t="inlineStr">
        <is>
          <t>EVT-2025-047</t>
        </is>
      </c>
      <c r="C137" s="70" t="inlineStr">
        <is>
          <t>Nexolimab Internal Meeting Milan Oct 2025</t>
        </is>
      </c>
      <c r="D137" s="70" t="inlineStr">
        <is>
          <t>PharmaLogix</t>
        </is>
      </c>
      <c r="E137" s="70" t="inlineStr">
        <is>
          <t>Logistics &amp; Transport</t>
        </is>
      </c>
      <c r="F137" s="71" t="inlineStr">
        <is>
          <t>Terminated</t>
        </is>
      </c>
      <c r="G137" s="71" t="inlineStr">
        <is>
          <t>PO-2025-1136</t>
        </is>
      </c>
      <c r="H137" s="71" t="inlineStr">
        <is>
          <t>INV-01136</t>
        </is>
      </c>
      <c r="I137" s="73" t="n">
        <v>75601.2</v>
      </c>
      <c r="J137" s="71" t="inlineStr">
        <is>
          <t>EUR</t>
        </is>
      </c>
      <c r="K137" s="96" t="inlineStr">
        <is>
          <t>Pending</t>
        </is>
      </c>
      <c r="L137" s="157" t="n">
        <v>45947</v>
      </c>
      <c r="M137" s="69" t="inlineStr">
        <is>
          <t>Low</t>
        </is>
      </c>
      <c r="N137" s="179" t="n">
        <v>45</v>
      </c>
      <c r="O137" s="91" t="n">
        <v>0</v>
      </c>
      <c r="P137" s="70" t="inlineStr"/>
      <c r="Q137" s="157" t="n">
        <v>46174</v>
      </c>
    </row>
    <row r="138" ht="18" customHeight="1">
      <c r="A138" s="84" t="inlineStr">
        <is>
          <t>SUP-0137</t>
        </is>
      </c>
      <c r="B138" s="85" t="inlineStr">
        <is>
          <t>EVT-2025-047</t>
        </is>
      </c>
      <c r="C138" s="86" t="inlineStr">
        <is>
          <t>Nexolimab Internal Meeting Milan Oct 2025</t>
        </is>
      </c>
      <c r="D138" s="86" t="inlineStr">
        <is>
          <t>MedAudio AV Solutions</t>
        </is>
      </c>
      <c r="E138" s="86" t="inlineStr">
        <is>
          <t>AV &amp; Technology</t>
        </is>
      </c>
      <c r="F138" s="85" t="inlineStr">
        <is>
          <t>Active</t>
        </is>
      </c>
      <c r="G138" s="85" t="inlineStr">
        <is>
          <t>PO-2025-1137</t>
        </is>
      </c>
      <c r="H138" s="85" t="inlineStr"/>
      <c r="I138" s="87" t="n">
        <v>5268.66</v>
      </c>
      <c r="J138" s="85" t="inlineStr">
        <is>
          <t>EUR</t>
        </is>
      </c>
      <c r="K138" s="92" t="inlineStr">
        <is>
          <t>Cancelled</t>
        </is>
      </c>
      <c r="L138" s="164" t="n">
        <v>45939</v>
      </c>
      <c r="M138" s="69" t="inlineStr">
        <is>
          <t>Low</t>
        </is>
      </c>
      <c r="N138" s="178" t="n">
        <v>30</v>
      </c>
      <c r="O138" s="90" t="n">
        <v>0</v>
      </c>
      <c r="P138" s="86" t="inlineStr"/>
      <c r="Q138" s="164" t="n">
        <v>46185</v>
      </c>
    </row>
    <row r="139" ht="18" customHeight="1">
      <c r="A139" s="84" t="inlineStr">
        <is>
          <t>SUP-0138</t>
        </is>
      </c>
      <c r="B139" s="71" t="inlineStr">
        <is>
          <t>EVT-2025-047</t>
        </is>
      </c>
      <c r="C139" s="70" t="inlineStr">
        <is>
          <t>Nexolimab Internal Meeting Milan Oct 2025</t>
        </is>
      </c>
      <c r="D139" s="70" t="inlineStr">
        <is>
          <t>AVIAWORLD Travel</t>
        </is>
      </c>
      <c r="E139" s="70" t="inlineStr">
        <is>
          <t>Travel &amp; Air</t>
        </is>
      </c>
      <c r="F139" s="71" t="inlineStr">
        <is>
          <t>Terminated</t>
        </is>
      </c>
      <c r="G139" s="71" t="inlineStr">
        <is>
          <t>PO-2025-1138</t>
        </is>
      </c>
      <c r="H139" s="71" t="inlineStr">
        <is>
          <t>INV-01138</t>
        </is>
      </c>
      <c r="I139" s="73" t="n">
        <v>4856.42</v>
      </c>
      <c r="J139" s="71" t="inlineStr">
        <is>
          <t>EUR</t>
        </is>
      </c>
      <c r="K139" s="95" t="inlineStr">
        <is>
          <t>Invoiced</t>
        </is>
      </c>
      <c r="L139" s="157" t="n">
        <v>45928</v>
      </c>
      <c r="M139" s="69" t="inlineStr">
        <is>
          <t>Low</t>
        </is>
      </c>
      <c r="N139" s="179" t="n">
        <v>30</v>
      </c>
      <c r="O139" s="91" t="n">
        <v>0</v>
      </c>
      <c r="P139" s="70" t="inlineStr"/>
      <c r="Q139" s="157" t="n">
        <v>46184</v>
      </c>
    </row>
    <row r="140" ht="18" customHeight="1">
      <c r="A140" s="84" t="inlineStr">
        <is>
          <t>SUP-0139</t>
        </is>
      </c>
      <c r="B140" s="85" t="inlineStr">
        <is>
          <t>EVT-2025-048</t>
        </is>
      </c>
      <c r="C140" s="86" t="inlineStr">
        <is>
          <t>Vaccinade Satellite Symposium Budapest Mar 2025</t>
        </is>
      </c>
      <c r="D140" s="86" t="inlineStr">
        <is>
          <t>TechEvent Systems</t>
        </is>
      </c>
      <c r="E140" s="86" t="inlineStr">
        <is>
          <t>Registration &amp; Tech</t>
        </is>
      </c>
      <c r="F140" s="85" t="inlineStr">
        <is>
          <t>Closed</t>
        </is>
      </c>
      <c r="G140" s="85" t="inlineStr">
        <is>
          <t>PO-2025-1139</t>
        </is>
      </c>
      <c r="H140" s="85" t="inlineStr">
        <is>
          <t>INV-01139</t>
        </is>
      </c>
      <c r="I140" s="87" t="n">
        <v>23310.9</v>
      </c>
      <c r="J140" s="85" t="inlineStr">
        <is>
          <t>EUR</t>
        </is>
      </c>
      <c r="K140" s="69" t="inlineStr">
        <is>
          <t>Paid</t>
        </is>
      </c>
      <c r="L140" s="164" t="n">
        <v>45699</v>
      </c>
      <c r="M140" s="69" t="inlineStr">
        <is>
          <t>Low</t>
        </is>
      </c>
      <c r="N140" s="178" t="n">
        <v>60</v>
      </c>
      <c r="O140" s="90" t="n">
        <v>0</v>
      </c>
      <c r="P140" s="86" t="inlineStr"/>
      <c r="Q140" s="164" t="n">
        <v>46180</v>
      </c>
    </row>
    <row r="141" ht="18" customHeight="1">
      <c r="A141" s="84" t="inlineStr">
        <is>
          <t>SUP-0140</t>
        </is>
      </c>
      <c r="B141" s="71" t="inlineStr">
        <is>
          <t>EVT-2025-049</t>
        </is>
      </c>
      <c r="C141" s="70" t="inlineStr">
        <is>
          <t>Hemaflex Webinar Istanbul Dec 2025</t>
        </is>
      </c>
      <c r="D141" s="70" t="inlineStr">
        <is>
          <t>HealthMarketing Group</t>
        </is>
      </c>
      <c r="E141" s="70" t="inlineStr">
        <is>
          <t>Marketing Agency</t>
        </is>
      </c>
      <c r="F141" s="71" t="inlineStr">
        <is>
          <t>Closed</t>
        </is>
      </c>
      <c r="G141" s="71" t="inlineStr">
        <is>
          <t>PO-2025-1140</t>
        </is>
      </c>
      <c r="H141" s="71" t="inlineStr">
        <is>
          <t>INV-01140</t>
        </is>
      </c>
      <c r="I141" s="73" t="n">
        <v>40806.82</v>
      </c>
      <c r="J141" s="71" t="inlineStr">
        <is>
          <t>EUR</t>
        </is>
      </c>
      <c r="K141" s="96" t="inlineStr">
        <is>
          <t>Pending</t>
        </is>
      </c>
      <c r="L141" s="157" t="n">
        <v>45986</v>
      </c>
      <c r="M141" s="69" t="inlineStr">
        <is>
          <t>Low</t>
        </is>
      </c>
      <c r="N141" s="179" t="n">
        <v>60</v>
      </c>
      <c r="O141" s="91" t="n">
        <v>0</v>
      </c>
      <c r="P141" s="70" t="inlineStr"/>
      <c r="Q141" s="157" t="n">
        <v>46193</v>
      </c>
    </row>
    <row r="142" ht="18" customHeight="1">
      <c r="A142" s="84" t="inlineStr">
        <is>
          <t>SUP-0141</t>
        </is>
      </c>
      <c r="B142" s="85" t="inlineStr">
        <is>
          <t>EVT-2025-049</t>
        </is>
      </c>
      <c r="C142" s="86" t="inlineStr">
        <is>
          <t>Hemaflex Webinar Istanbul Dec 2025</t>
        </is>
      </c>
      <c r="D142" s="86" t="inlineStr">
        <is>
          <t>MedComm Agency</t>
        </is>
      </c>
      <c r="E142" s="86" t="inlineStr">
        <is>
          <t>Medical Communication</t>
        </is>
      </c>
      <c r="F142" s="85" t="inlineStr">
        <is>
          <t>RFP Sent</t>
        </is>
      </c>
      <c r="G142" s="85" t="inlineStr">
        <is>
          <t>PO-2025-1141</t>
        </is>
      </c>
      <c r="H142" s="85" t="inlineStr">
        <is>
          <t>INV-01141</t>
        </is>
      </c>
      <c r="I142" s="87" t="n">
        <v>35587.36</v>
      </c>
      <c r="J142" s="85" t="inlineStr">
        <is>
          <t>EUR</t>
        </is>
      </c>
      <c r="K142" s="95" t="inlineStr">
        <is>
          <t>Invoiced</t>
        </is>
      </c>
      <c r="L142" s="164" t="n">
        <v>45997</v>
      </c>
      <c r="M142" s="69" t="inlineStr">
        <is>
          <t>Low</t>
        </is>
      </c>
      <c r="N142" s="178" t="n">
        <v>45</v>
      </c>
      <c r="O142" s="90" t="n">
        <v>0</v>
      </c>
      <c r="P142" s="86" t="inlineStr"/>
      <c r="Q142" s="164" t="n">
        <v>46179</v>
      </c>
    </row>
    <row r="143" ht="18" customHeight="1">
      <c r="A143" s="84" t="inlineStr">
        <is>
          <t>SUP-0142</t>
        </is>
      </c>
      <c r="B143" s="71" t="inlineStr">
        <is>
          <t>EVT-2025-049</t>
        </is>
      </c>
      <c r="C143" s="70" t="inlineStr">
        <is>
          <t>Hemaflex Webinar Istanbul Dec 2025</t>
        </is>
      </c>
      <c r="D143" s="70" t="inlineStr">
        <is>
          <t>PharmaLogix</t>
        </is>
      </c>
      <c r="E143" s="70" t="inlineStr">
        <is>
          <t>Logistics &amp; Transport</t>
        </is>
      </c>
      <c r="F143" s="71" t="inlineStr">
        <is>
          <t>Signed</t>
        </is>
      </c>
      <c r="G143" s="71" t="inlineStr">
        <is>
          <t>PO-2025-1142</t>
        </is>
      </c>
      <c r="H143" s="71" t="inlineStr"/>
      <c r="I143" s="73" t="n">
        <v>53551.7</v>
      </c>
      <c r="J143" s="71" t="inlineStr">
        <is>
          <t>EUR</t>
        </is>
      </c>
      <c r="K143" s="76" t="inlineStr">
        <is>
          <t>Disputed</t>
        </is>
      </c>
      <c r="L143" s="157" t="n">
        <v>45993</v>
      </c>
      <c r="M143" s="69" t="inlineStr">
        <is>
          <t>Low</t>
        </is>
      </c>
      <c r="N143" s="179" t="n">
        <v>60</v>
      </c>
      <c r="O143" s="91" t="n">
        <v>0</v>
      </c>
      <c r="P143" s="70" t="inlineStr"/>
      <c r="Q143" s="157" t="n">
        <v>46197</v>
      </c>
    </row>
    <row r="144" ht="18" customHeight="1">
      <c r="A144" s="84" t="inlineStr">
        <is>
          <t>SUP-0143</t>
        </is>
      </c>
      <c r="B144" s="85" t="inlineStr">
        <is>
          <t>EVT-2025-049</t>
        </is>
      </c>
      <c r="C144" s="86" t="inlineStr">
        <is>
          <t>Hemaflex Webinar Istanbul Dec 2025</t>
        </is>
      </c>
      <c r="D144" s="86" t="inlineStr">
        <is>
          <t>MedAudio AV Solutions</t>
        </is>
      </c>
      <c r="E144" s="86" t="inlineStr">
        <is>
          <t>AV &amp; Technology</t>
        </is>
      </c>
      <c r="F144" s="85" t="inlineStr">
        <is>
          <t>Contract Sent</t>
        </is>
      </c>
      <c r="G144" s="85" t="inlineStr">
        <is>
          <t>PO-2025-1143</t>
        </is>
      </c>
      <c r="H144" s="85" t="inlineStr"/>
      <c r="I144" s="87" t="n">
        <v>36624.85</v>
      </c>
      <c r="J144" s="85" t="inlineStr">
        <is>
          <t>EUR</t>
        </is>
      </c>
      <c r="K144" s="92" t="inlineStr">
        <is>
          <t>Cancelled</t>
        </is>
      </c>
      <c r="L144" s="164" t="n">
        <v>45988</v>
      </c>
      <c r="M144" s="69" t="inlineStr">
        <is>
          <t>Low</t>
        </is>
      </c>
      <c r="N144" s="178" t="n">
        <v>60</v>
      </c>
      <c r="O144" s="90" t="n">
        <v>0</v>
      </c>
      <c r="P144" s="86" t="inlineStr"/>
      <c r="Q144" s="164" t="n">
        <v>46183</v>
      </c>
    </row>
    <row r="145" ht="18" customHeight="1">
      <c r="A145" s="84" t="inlineStr">
        <is>
          <t>SUP-0144</t>
        </is>
      </c>
      <c r="B145" s="71" t="inlineStr">
        <is>
          <t>EVT-2025-050</t>
        </is>
      </c>
      <c r="C145" s="70" t="inlineStr">
        <is>
          <t>Infectoban Launch Event Paris Jun 2025</t>
        </is>
      </c>
      <c r="D145" s="70" t="inlineStr">
        <is>
          <t>MedComm Agency</t>
        </is>
      </c>
      <c r="E145" s="70" t="inlineStr">
        <is>
          <t>Medical Communication</t>
        </is>
      </c>
      <c r="F145" s="71" t="inlineStr">
        <is>
          <t>Negotiating</t>
        </is>
      </c>
      <c r="G145" s="71" t="inlineStr">
        <is>
          <t>PO-2025-1144</t>
        </is>
      </c>
      <c r="H145" s="71" t="inlineStr">
        <is>
          <t>INV-01144</t>
        </is>
      </c>
      <c r="I145" s="73" t="n">
        <v>33684.4</v>
      </c>
      <c r="J145" s="71" t="inlineStr">
        <is>
          <t>EUR</t>
        </is>
      </c>
      <c r="K145" s="76" t="inlineStr">
        <is>
          <t>Disputed</t>
        </is>
      </c>
      <c r="L145" s="157" t="n">
        <v>45788</v>
      </c>
      <c r="M145" s="76" t="inlineStr">
        <is>
          <t>Medium</t>
        </is>
      </c>
      <c r="N145" s="179" t="n">
        <v>45</v>
      </c>
      <c r="O145" s="91" t="n">
        <v>0</v>
      </c>
      <c r="P145" s="70" t="inlineStr"/>
      <c r="Q145" s="157" t="n">
        <v>46196</v>
      </c>
    </row>
    <row r="146" ht="18" customHeight="1">
      <c r="A146" s="84" t="inlineStr">
        <is>
          <t>SUP-0145</t>
        </is>
      </c>
      <c r="B146" s="85" t="inlineStr">
        <is>
          <t>EVT-2025-050</t>
        </is>
      </c>
      <c r="C146" s="86" t="inlineStr">
        <is>
          <t>Infectoban Launch Event Paris Jun 2025</t>
        </is>
      </c>
      <c r="D146" s="86" t="inlineStr">
        <is>
          <t>Catering Excellence</t>
        </is>
      </c>
      <c r="E146" s="86" t="inlineStr">
        <is>
          <t>F&amp;B / Catering</t>
        </is>
      </c>
      <c r="F146" s="85" t="inlineStr">
        <is>
          <t>RFP Sent</t>
        </is>
      </c>
      <c r="G146" s="85" t="inlineStr">
        <is>
          <t>PO-2025-1145</t>
        </is>
      </c>
      <c r="H146" s="85" t="inlineStr">
        <is>
          <t>INV-01145</t>
        </is>
      </c>
      <c r="I146" s="87" t="n">
        <v>13136.8</v>
      </c>
      <c r="J146" s="85" t="inlineStr">
        <is>
          <t>EUR</t>
        </is>
      </c>
      <c r="K146" s="69" t="inlineStr">
        <is>
          <t>Paid</t>
        </is>
      </c>
      <c r="L146" s="164" t="n">
        <v>45785</v>
      </c>
      <c r="M146" s="76" t="inlineStr">
        <is>
          <t>Medium</t>
        </is>
      </c>
      <c r="N146" s="178" t="n">
        <v>45</v>
      </c>
      <c r="O146" s="90" t="n">
        <v>0</v>
      </c>
      <c r="P146" s="86" t="inlineStr"/>
      <c r="Q146" s="164" t="n">
        <v>46168</v>
      </c>
    </row>
    <row r="147" ht="18" customHeight="1">
      <c r="A147" s="84" t="inlineStr">
        <is>
          <t>SUP-0146</t>
        </is>
      </c>
      <c r="B147" s="71" t="inlineStr">
        <is>
          <t>EVT-2025-050</t>
        </is>
      </c>
      <c r="C147" s="70" t="inlineStr">
        <is>
          <t>Infectoban Launch Event Paris Jun 2025</t>
        </is>
      </c>
      <c r="D147" s="70" t="inlineStr">
        <is>
          <t>Compliance Expert Ltd</t>
        </is>
      </c>
      <c r="E147" s="70" t="inlineStr">
        <is>
          <t>Compliance &amp; Legal</t>
        </is>
      </c>
      <c r="F147" s="71" t="inlineStr">
        <is>
          <t>Active</t>
        </is>
      </c>
      <c r="G147" s="71" t="inlineStr">
        <is>
          <t>PO-2025-1146</t>
        </is>
      </c>
      <c r="H147" s="71" t="inlineStr"/>
      <c r="I147" s="73" t="n">
        <v>20407.64</v>
      </c>
      <c r="J147" s="71" t="inlineStr">
        <is>
          <t>EUR</t>
        </is>
      </c>
      <c r="K147" s="69" t="inlineStr">
        <is>
          <t>Paid</t>
        </is>
      </c>
      <c r="L147" s="157" t="n">
        <v>45784</v>
      </c>
      <c r="M147" s="69" t="inlineStr">
        <is>
          <t>Low</t>
        </is>
      </c>
      <c r="N147" s="179" t="n">
        <v>60</v>
      </c>
      <c r="O147" s="91" t="n">
        <v>0</v>
      </c>
      <c r="P147" s="70" t="inlineStr"/>
      <c r="Q147" s="157" t="n">
        <v>46178</v>
      </c>
    </row>
    <row r="148" ht="18" customHeight="1">
      <c r="A148" s="84" t="inlineStr">
        <is>
          <t>SUP-0147</t>
        </is>
      </c>
      <c r="B148" s="85" t="inlineStr">
        <is>
          <t>EVT-2025-050</t>
        </is>
      </c>
      <c r="C148" s="86" t="inlineStr">
        <is>
          <t>Infectoban Launch Event Paris Jun 2025</t>
        </is>
      </c>
      <c r="D148" s="86" t="inlineStr">
        <is>
          <t>AVIAWORLD Travel</t>
        </is>
      </c>
      <c r="E148" s="86" t="inlineStr">
        <is>
          <t>Travel &amp; Air</t>
        </is>
      </c>
      <c r="F148" s="85" t="inlineStr">
        <is>
          <t>Signed</t>
        </is>
      </c>
      <c r="G148" s="85" t="inlineStr">
        <is>
          <t>PO-2025-1147</t>
        </is>
      </c>
      <c r="H148" s="85" t="inlineStr"/>
      <c r="I148" s="87" t="n">
        <v>13968.18</v>
      </c>
      <c r="J148" s="85" t="inlineStr">
        <is>
          <t>EUR</t>
        </is>
      </c>
      <c r="K148" s="95" t="inlineStr">
        <is>
          <t>Invoiced</t>
        </is>
      </c>
      <c r="L148" s="164" t="n">
        <v>45790</v>
      </c>
      <c r="M148" s="93" t="inlineStr">
        <is>
          <t>High</t>
        </is>
      </c>
      <c r="N148" s="178" t="n">
        <v>30</v>
      </c>
      <c r="O148" s="90" t="n">
        <v>0</v>
      </c>
      <c r="P148" s="86" t="inlineStr"/>
      <c r="Q148" s="164" t="n">
        <v>46173</v>
      </c>
    </row>
    <row r="149" ht="18" customHeight="1">
      <c r="A149" s="84" t="inlineStr">
        <is>
          <t>SUP-0148</t>
        </is>
      </c>
      <c r="B149" s="71" t="inlineStr">
        <is>
          <t>EVT-2025-050</t>
        </is>
      </c>
      <c r="C149" s="70" t="inlineStr">
        <is>
          <t>Infectoban Launch Event Paris Jun 2025</t>
        </is>
      </c>
      <c r="D149" s="70" t="inlineStr">
        <is>
          <t>InterCongress PCO</t>
        </is>
      </c>
      <c r="E149" s="70" t="inlineStr">
        <is>
          <t>PCO / Event Agency</t>
        </is>
      </c>
      <c r="F149" s="71" t="inlineStr">
        <is>
          <t>Closed</t>
        </is>
      </c>
      <c r="G149" s="71" t="inlineStr">
        <is>
          <t>PO-2025-1148</t>
        </is>
      </c>
      <c r="H149" s="71" t="inlineStr">
        <is>
          <t>INV-01148</t>
        </is>
      </c>
      <c r="I149" s="73" t="n">
        <v>46765.9</v>
      </c>
      <c r="J149" s="71" t="inlineStr">
        <is>
          <t>EUR</t>
        </is>
      </c>
      <c r="K149" s="95" t="inlineStr">
        <is>
          <t>Invoiced</t>
        </is>
      </c>
      <c r="L149" s="157" t="n">
        <v>45788</v>
      </c>
      <c r="M149" s="69" t="inlineStr">
        <is>
          <t>Low</t>
        </is>
      </c>
      <c r="N149" s="179" t="n">
        <v>60</v>
      </c>
      <c r="O149" s="91" t="n">
        <v>0</v>
      </c>
      <c r="P149" s="70" t="inlineStr"/>
      <c r="Q149" s="157" t="n">
        <v>46182</v>
      </c>
    </row>
  </sheetData>
  <autoFilter ref="A1:Q149"/>
  <conditionalFormatting sqref="A2:Q149">
    <cfRule type="expression" priority="1" dxfId="1">
      <formula>$K2="Overdue"</formula>
    </cfRule>
    <cfRule type="expression" priority="2" dxfId="2">
      <formula>$M2="High"</formula>
    </cfRule>
  </conditionalFormatting>
  <dataValidations count="3">
    <dataValidation sqref="M2:M149" showDropDown="0" showInputMessage="0" showErrorMessage="0" allowBlank="0" type="list">
      <formula1>"Low,Medium,High"</formula1>
    </dataValidation>
    <dataValidation sqref="K2:K149" showDropDown="0" showInputMessage="0" showErrorMessage="0" allowBlank="0" type="list">
      <formula1>"Pending,Approved,Invoiced,Paid,Overdue,Disputed,Cancelled"</formula1>
    </dataValidation>
    <dataValidation sqref="F2:F149" showDropDown="0" showInputMessage="0" showErrorMessage="0" allowBlank="0" type="list">
      <formula1>"RFP Sent,Negotiating,Contract Sent,Signed,Active,Closed,Terminated"</formula1>
    </dataValidation>
  </dataValidations>
  <printOptions gridLines="0"/>
  <pageMargins left="0.4" right="0.4" top="0.6" bottom="0.6" header="0.3" footer="0.3"/>
  <pageSetup orientation="landscape" fitToHeight="0" fitToWidth="1"/>
  <headerFooter>
    <oddHeader/>
    <oddFooter>&amp;LConfidential – Internal Use Only&amp;C&amp;A&amp;RPage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0B0F0"/>
    <outlinePr summaryBelow="1" summaryRight="1"/>
    <pageSetUpPr fitToPage="1"/>
  </sheetPr>
  <dimension ref="A1:P553"/>
  <sheetViews>
    <sheetView showGridLines="0" tabSelected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20" customWidth="1" min="4" max="4"/>
    <col width="22" customWidth="1" min="5" max="5"/>
    <col width="18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 ht="30" customHeight="1">
      <c r="A1" s="97" t="inlineStr">
        <is>
          <t>Record ID</t>
        </is>
      </c>
      <c r="B1" s="97" t="inlineStr">
        <is>
          <t>Event ID</t>
        </is>
      </c>
      <c r="C1" s="97" t="inlineStr">
        <is>
          <t>Event Name</t>
        </is>
      </c>
      <c r="D1" s="97" t="inlineStr">
        <is>
          <t>Therapeutic Area</t>
        </is>
      </c>
      <c r="E1" s="97" t="inlineStr">
        <is>
          <t>Business Unit</t>
        </is>
      </c>
      <c r="F1" s="97" t="inlineStr">
        <is>
          <t>Cost Category</t>
        </is>
      </c>
      <c r="G1" s="97" t="inlineStr">
        <is>
          <t>Month</t>
        </is>
      </c>
      <c r="H1" s="97" t="inlineStr">
        <is>
          <t>Quarter</t>
        </is>
      </c>
      <c r="I1" s="97" t="inlineStr">
        <is>
          <t>Budgeted (€)</t>
        </is>
      </c>
      <c r="J1" s="97" t="inlineStr">
        <is>
          <t>Committed (€)</t>
        </is>
      </c>
      <c r="K1" s="97" t="inlineStr">
        <is>
          <t>Actual (€)</t>
        </is>
      </c>
      <c r="L1" s="97" t="inlineStr">
        <is>
          <t>Variance (€)</t>
        </is>
      </c>
      <c r="M1" s="97" t="inlineStr">
        <is>
          <t>Variance %</t>
        </is>
      </c>
      <c r="N1" s="97" t="inlineStr">
        <is>
          <t>Absorption %</t>
        </is>
      </c>
      <c r="O1" s="97" t="inlineStr">
        <is>
          <t>Over/Under</t>
        </is>
      </c>
      <c r="P1" s="97" t="inlineStr">
        <is>
          <t>Status</t>
        </is>
      </c>
    </row>
    <row r="2" ht="16" customHeight="1">
      <c r="A2" s="98" t="inlineStr">
        <is>
          <t>CC-00001</t>
        </is>
      </c>
      <c r="B2" s="99" t="inlineStr">
        <is>
          <t>EVT-2025-001</t>
        </is>
      </c>
      <c r="C2" s="100" t="inlineStr">
        <is>
          <t>Cordavex Internal Meeting Vienna Apr 2025</t>
        </is>
      </c>
      <c r="D2" s="100" t="inlineStr">
        <is>
          <t>Cardiology</t>
        </is>
      </c>
      <c r="E2" s="100" t="inlineStr">
        <is>
          <t>BU Cardiovascular</t>
        </is>
      </c>
      <c r="F2" s="99" t="inlineStr">
        <is>
          <t>Airfare</t>
        </is>
      </c>
      <c r="G2" s="99" t="inlineStr">
        <is>
          <t>Apr-2025</t>
        </is>
      </c>
      <c r="H2" s="99" t="inlineStr">
        <is>
          <t>Q2 2025</t>
        </is>
      </c>
      <c r="I2" s="101" t="n">
        <v>35116.69</v>
      </c>
      <c r="J2" s="101" t="n">
        <v>25963.35</v>
      </c>
      <c r="K2" s="101" t="n">
        <v>25655.84</v>
      </c>
      <c r="L2" s="165">
        <f>I2-J2</f>
        <v/>
      </c>
      <c r="M2" s="166">
        <f>IF(I2=0,0,ROUND((I2-J2)/I2,4))</f>
        <v/>
      </c>
      <c r="N2" s="104">
        <f>IF(I2=0,0,J2/I2)</f>
        <v/>
      </c>
      <c r="O2" s="105">
        <f>IF(L2&gt;=0,"Under","Over")</f>
        <v/>
      </c>
      <c r="P2" s="69">
        <f>IF(M2&lt;-0.05,"Watch","On Track")</f>
        <v/>
      </c>
    </row>
    <row r="3" ht="16" customHeight="1">
      <c r="A3" s="106" t="inlineStr">
        <is>
          <t>CC-00002</t>
        </is>
      </c>
      <c r="B3" s="71" t="inlineStr">
        <is>
          <t>EVT-2025-001</t>
        </is>
      </c>
      <c r="C3" s="70" t="inlineStr">
        <is>
          <t>Cordavex Internal Meeting Vienna Apr 2025</t>
        </is>
      </c>
      <c r="D3" s="70" t="inlineStr">
        <is>
          <t>Cardiology</t>
        </is>
      </c>
      <c r="E3" s="70" t="inlineStr">
        <is>
          <t>BU Cardiovascular</t>
        </is>
      </c>
      <c r="F3" s="71" t="inlineStr">
        <is>
          <t>Hotel</t>
        </is>
      </c>
      <c r="G3" s="71" t="inlineStr">
        <is>
          <t>Apr-2025</t>
        </is>
      </c>
      <c r="H3" s="71" t="inlineStr">
        <is>
          <t>Q2 2025</t>
        </is>
      </c>
      <c r="I3" s="73" t="n">
        <v>63210.04</v>
      </c>
      <c r="J3" s="73" t="n">
        <v>38745.02</v>
      </c>
      <c r="K3" s="73" t="n">
        <v>29284.04</v>
      </c>
      <c r="L3" s="163">
        <f>I3-J3</f>
        <v/>
      </c>
      <c r="M3" s="161">
        <f>IF(I3=0,0,ROUND((I3-J3)/I3,4))</f>
        <v/>
      </c>
      <c r="N3" s="107">
        <f>IF(I3=0,0,J3/I3)</f>
        <v/>
      </c>
      <c r="O3" s="108">
        <f>IF(L3&gt;=0,"Under","Over")</f>
        <v/>
      </c>
      <c r="P3" s="69">
        <f>IF(M3&lt;-0.05,"Watch","On Track")</f>
        <v/>
      </c>
    </row>
    <row r="4" ht="16" customHeight="1">
      <c r="A4" s="98" t="inlineStr">
        <is>
          <t>CC-00003</t>
        </is>
      </c>
      <c r="B4" s="99" t="inlineStr">
        <is>
          <t>EVT-2025-001</t>
        </is>
      </c>
      <c r="C4" s="100" t="inlineStr">
        <is>
          <t>Cordavex Internal Meeting Vienna Apr 2025</t>
        </is>
      </c>
      <c r="D4" s="100" t="inlineStr">
        <is>
          <t>Cardiology</t>
        </is>
      </c>
      <c r="E4" s="100" t="inlineStr">
        <is>
          <t>BU Cardiovascular</t>
        </is>
      </c>
      <c r="F4" s="99" t="inlineStr">
        <is>
          <t>Venue</t>
        </is>
      </c>
      <c r="G4" s="99" t="inlineStr">
        <is>
          <t>Apr-2025</t>
        </is>
      </c>
      <c r="H4" s="99" t="inlineStr">
        <is>
          <t>Q2 2025</t>
        </is>
      </c>
      <c r="I4" s="101" t="n">
        <v>52675.03</v>
      </c>
      <c r="J4" s="101" t="n">
        <v>45241.14</v>
      </c>
      <c r="K4" s="101" t="n">
        <v>44067.71</v>
      </c>
      <c r="L4" s="165">
        <f>I4-J4</f>
        <v/>
      </c>
      <c r="M4" s="166">
        <f>IF(I4=0,0,ROUND((I4-J4)/I4,4))</f>
        <v/>
      </c>
      <c r="N4" s="104">
        <f>IF(I4=0,0,J4/I4)</f>
        <v/>
      </c>
      <c r="O4" s="105">
        <f>IF(L4&gt;=0,"Under","Over")</f>
        <v/>
      </c>
      <c r="P4" s="69">
        <f>IF(M4&lt;-0.05,"Watch","On Track")</f>
        <v/>
      </c>
    </row>
    <row r="5" ht="16" customHeight="1">
      <c r="A5" s="106" t="inlineStr">
        <is>
          <t>CC-00004</t>
        </is>
      </c>
      <c r="B5" s="71" t="inlineStr">
        <is>
          <t>EVT-2025-001</t>
        </is>
      </c>
      <c r="C5" s="70" t="inlineStr">
        <is>
          <t>Cordavex Internal Meeting Vienna Apr 2025</t>
        </is>
      </c>
      <c r="D5" s="70" t="inlineStr">
        <is>
          <t>Cardiology</t>
        </is>
      </c>
      <c r="E5" s="70" t="inlineStr">
        <is>
          <t>BU Cardiovascular</t>
        </is>
      </c>
      <c r="F5" s="71" t="inlineStr">
        <is>
          <t>F&amp;B</t>
        </is>
      </c>
      <c r="G5" s="71" t="inlineStr">
        <is>
          <t>Apr-2025</t>
        </is>
      </c>
      <c r="H5" s="71" t="inlineStr">
        <is>
          <t>Q2 2025</t>
        </is>
      </c>
      <c r="I5" s="73" t="n">
        <v>42140.03</v>
      </c>
      <c r="J5" s="73" t="n">
        <v>27765.24</v>
      </c>
      <c r="K5" s="73" t="n">
        <v>25890.79</v>
      </c>
      <c r="L5" s="163">
        <f>I5-J5</f>
        <v/>
      </c>
      <c r="M5" s="161">
        <f>IF(I5=0,0,ROUND((I5-J5)/I5,4))</f>
        <v/>
      </c>
      <c r="N5" s="107">
        <f>IF(I5=0,0,J5/I5)</f>
        <v/>
      </c>
      <c r="O5" s="108">
        <f>IF(L5&gt;=0,"Under","Over")</f>
        <v/>
      </c>
      <c r="P5" s="69">
        <f>IF(M5&lt;-0.05,"Watch","On Track")</f>
        <v/>
      </c>
    </row>
    <row r="6" ht="16" customHeight="1">
      <c r="A6" s="98" t="inlineStr">
        <is>
          <t>CC-00005</t>
        </is>
      </c>
      <c r="B6" s="99" t="inlineStr">
        <is>
          <t>EVT-2025-001</t>
        </is>
      </c>
      <c r="C6" s="100" t="inlineStr">
        <is>
          <t>Cordavex Internal Meeting Vienna Apr 2025</t>
        </is>
      </c>
      <c r="D6" s="100" t="inlineStr">
        <is>
          <t>Cardiology</t>
        </is>
      </c>
      <c r="E6" s="100" t="inlineStr">
        <is>
          <t>BU Cardiovascular</t>
        </is>
      </c>
      <c r="F6" s="99" t="inlineStr">
        <is>
          <t>Logistics</t>
        </is>
      </c>
      <c r="G6" s="99" t="inlineStr">
        <is>
          <t>Apr-2025</t>
        </is>
      </c>
      <c r="H6" s="99" t="inlineStr">
        <is>
          <t>Q2 2025</t>
        </is>
      </c>
      <c r="I6" s="101" t="n">
        <v>21070.01</v>
      </c>
      <c r="J6" s="101" t="n">
        <v>20059.05</v>
      </c>
      <c r="K6" s="101" t="n">
        <v>15332.56</v>
      </c>
      <c r="L6" s="165">
        <f>I6-J6</f>
        <v/>
      </c>
      <c r="M6" s="166">
        <f>IF(I6=0,0,ROUND((I6-J6)/I6,4))</f>
        <v/>
      </c>
      <c r="N6" s="104">
        <f>IF(I6=0,0,J6/I6)</f>
        <v/>
      </c>
      <c r="O6" s="105">
        <f>IF(L6&gt;=0,"Under","Over")</f>
        <v/>
      </c>
      <c r="P6" s="69">
        <f>IF(M6&lt;-0.05,"Watch","On Track")</f>
        <v/>
      </c>
    </row>
    <row r="7" ht="16" customHeight="1">
      <c r="A7" s="106" t="inlineStr">
        <is>
          <t>CC-00006</t>
        </is>
      </c>
      <c r="B7" s="71" t="inlineStr">
        <is>
          <t>EVT-2025-001</t>
        </is>
      </c>
      <c r="C7" s="70" t="inlineStr">
        <is>
          <t>Cordavex Internal Meeting Vienna Apr 2025</t>
        </is>
      </c>
      <c r="D7" s="70" t="inlineStr">
        <is>
          <t>Cardiology</t>
        </is>
      </c>
      <c r="E7" s="70" t="inlineStr">
        <is>
          <t>BU Cardiovascular</t>
        </is>
      </c>
      <c r="F7" s="71" t="inlineStr">
        <is>
          <t>AV &amp; Technology</t>
        </is>
      </c>
      <c r="G7" s="71" t="inlineStr">
        <is>
          <t>Apr-2025</t>
        </is>
      </c>
      <c r="H7" s="71" t="inlineStr">
        <is>
          <t>Q2 2025</t>
        </is>
      </c>
      <c r="I7" s="73" t="n">
        <v>28093.35</v>
      </c>
      <c r="J7" s="73" t="n">
        <v>25450.85</v>
      </c>
      <c r="K7" s="73" t="n">
        <v>23114.31</v>
      </c>
      <c r="L7" s="163">
        <f>I7-J7</f>
        <v/>
      </c>
      <c r="M7" s="161">
        <f>IF(I7=0,0,ROUND((I7-J7)/I7,4))</f>
        <v/>
      </c>
      <c r="N7" s="107">
        <f>IF(I7=0,0,J7/I7)</f>
        <v/>
      </c>
      <c r="O7" s="108">
        <f>IF(L7&gt;=0,"Under","Over")</f>
        <v/>
      </c>
      <c r="P7" s="69">
        <f>IF(M7&lt;-0.05,"Watch","On Track")</f>
        <v/>
      </c>
    </row>
    <row r="8" ht="16" customHeight="1">
      <c r="A8" s="98" t="inlineStr">
        <is>
          <t>CC-00007</t>
        </is>
      </c>
      <c r="B8" s="99" t="inlineStr">
        <is>
          <t>EVT-2025-001</t>
        </is>
      </c>
      <c r="C8" s="100" t="inlineStr">
        <is>
          <t>Cordavex Internal Meeting Vienna Apr 2025</t>
        </is>
      </c>
      <c r="D8" s="100" t="inlineStr">
        <is>
          <t>Cardiology</t>
        </is>
      </c>
      <c r="E8" s="100" t="inlineStr">
        <is>
          <t>BU Cardiovascular</t>
        </is>
      </c>
      <c r="F8" s="99" t="inlineStr">
        <is>
          <t>Agency Fees</t>
        </is>
      </c>
      <c r="G8" s="99" t="inlineStr">
        <is>
          <t>Apr-2025</t>
        </is>
      </c>
      <c r="H8" s="99" t="inlineStr">
        <is>
          <t>Q2 2025</t>
        </is>
      </c>
      <c r="I8" s="101" t="n">
        <v>49163.36</v>
      </c>
      <c r="J8" s="101" t="n">
        <v>54045.99</v>
      </c>
      <c r="K8" s="101" t="n">
        <v>41077.84</v>
      </c>
      <c r="L8" s="167">
        <f>I8-J8</f>
        <v/>
      </c>
      <c r="M8" s="168">
        <f>IF(I8=0,0,ROUND((I8-J8)/I8,4))</f>
        <v/>
      </c>
      <c r="N8" s="104">
        <f>IF(I8=0,0,J8/I8)</f>
        <v/>
      </c>
      <c r="O8" s="111">
        <f>IF(L8&gt;=0,"Under","Over")</f>
        <v/>
      </c>
      <c r="P8" s="76">
        <f>IF(M8&lt;-0.05,"Watch","On Track")</f>
        <v/>
      </c>
    </row>
    <row r="9" ht="16" customHeight="1">
      <c r="A9" s="106" t="inlineStr">
        <is>
          <t>CC-00008</t>
        </is>
      </c>
      <c r="B9" s="71" t="inlineStr">
        <is>
          <t>EVT-2025-001</t>
        </is>
      </c>
      <c r="C9" s="70" t="inlineStr">
        <is>
          <t>Cordavex Internal Meeting Vienna Apr 2025</t>
        </is>
      </c>
      <c r="D9" s="70" t="inlineStr">
        <is>
          <t>Cardiology</t>
        </is>
      </c>
      <c r="E9" s="70" t="inlineStr">
        <is>
          <t>BU Cardiovascular</t>
        </is>
      </c>
      <c r="F9" s="71" t="inlineStr">
        <is>
          <t>Speaker Fees</t>
        </is>
      </c>
      <c r="G9" s="71" t="inlineStr">
        <is>
          <t>Apr-2025</t>
        </is>
      </c>
      <c r="H9" s="71" t="inlineStr">
        <is>
          <t>Q2 2025</t>
        </is>
      </c>
      <c r="I9" s="73" t="n">
        <v>35116.69</v>
      </c>
      <c r="J9" s="73" t="n">
        <v>23453.18</v>
      </c>
      <c r="K9" s="73" t="n">
        <v>16938.25</v>
      </c>
      <c r="L9" s="163">
        <f>I9-J9</f>
        <v/>
      </c>
      <c r="M9" s="161">
        <f>IF(I9=0,0,ROUND((I9-J9)/I9,4))</f>
        <v/>
      </c>
      <c r="N9" s="107">
        <f>IF(I9=0,0,J9/I9)</f>
        <v/>
      </c>
      <c r="O9" s="108">
        <f>IF(L9&gt;=0,"Under","Over")</f>
        <v/>
      </c>
      <c r="P9" s="69">
        <f>IF(M9&lt;-0.05,"Watch","On Track")</f>
        <v/>
      </c>
    </row>
    <row r="10" ht="16" customHeight="1">
      <c r="A10" s="98" t="inlineStr">
        <is>
          <t>CC-00009</t>
        </is>
      </c>
      <c r="B10" s="99" t="inlineStr">
        <is>
          <t>EVT-2025-001</t>
        </is>
      </c>
      <c r="C10" s="100" t="inlineStr">
        <is>
          <t>Cordavex Internal Meeting Vienna Apr 2025</t>
        </is>
      </c>
      <c r="D10" s="100" t="inlineStr">
        <is>
          <t>Cardiology</t>
        </is>
      </c>
      <c r="E10" s="100" t="inlineStr">
        <is>
          <t>BU Cardiovascular</t>
        </is>
      </c>
      <c r="F10" s="99" t="inlineStr">
        <is>
          <t>Translation</t>
        </is>
      </c>
      <c r="G10" s="99" t="inlineStr">
        <is>
          <t>Apr-2025</t>
        </is>
      </c>
      <c r="H10" s="99" t="inlineStr">
        <is>
          <t>Q2 2025</t>
        </is>
      </c>
      <c r="I10" s="101" t="n">
        <v>10535.01</v>
      </c>
      <c r="J10" s="101" t="n">
        <v>7230.47</v>
      </c>
      <c r="K10" s="101" t="n">
        <v>6608.73</v>
      </c>
      <c r="L10" s="165">
        <f>I10-J10</f>
        <v/>
      </c>
      <c r="M10" s="166">
        <f>IF(I10=0,0,ROUND((I10-J10)/I10,4))</f>
        <v/>
      </c>
      <c r="N10" s="104">
        <f>IF(I10=0,0,J10/I10)</f>
        <v/>
      </c>
      <c r="O10" s="105">
        <f>IF(L10&gt;=0,"Under","Over")</f>
        <v/>
      </c>
      <c r="P10" s="69">
        <f>IF(M10&lt;-0.05,"Watch","On Track")</f>
        <v/>
      </c>
    </row>
    <row r="11" ht="16" customHeight="1">
      <c r="A11" s="106" t="inlineStr">
        <is>
          <t>CC-00010</t>
        </is>
      </c>
      <c r="B11" s="71" t="inlineStr">
        <is>
          <t>EVT-2025-001</t>
        </is>
      </c>
      <c r="C11" s="70" t="inlineStr">
        <is>
          <t>Cordavex Internal Meeting Vienna Apr 2025</t>
        </is>
      </c>
      <c r="D11" s="70" t="inlineStr">
        <is>
          <t>Cardiology</t>
        </is>
      </c>
      <c r="E11" s="70" t="inlineStr">
        <is>
          <t>BU Cardiovascular</t>
        </is>
      </c>
      <c r="F11" s="71" t="inlineStr">
        <is>
          <t>Print &amp; Production</t>
        </is>
      </c>
      <c r="G11" s="71" t="inlineStr">
        <is>
          <t>Apr-2025</t>
        </is>
      </c>
      <c r="H11" s="71" t="inlineStr">
        <is>
          <t>Q2 2025</t>
        </is>
      </c>
      <c r="I11" s="73" t="n">
        <v>7023.34</v>
      </c>
      <c r="J11" s="73" t="n">
        <v>7716.06</v>
      </c>
      <c r="K11" s="73" t="n">
        <v>7277.43</v>
      </c>
      <c r="L11" s="158">
        <f>I11-J11</f>
        <v/>
      </c>
      <c r="M11" s="159">
        <f>IF(I11=0,0,ROUND((I11-J11)/I11,4))</f>
        <v/>
      </c>
      <c r="N11" s="107">
        <f>IF(I11=0,0,J11/I11)</f>
        <v/>
      </c>
      <c r="O11" s="112">
        <f>IF(L11&gt;=0,"Under","Over")</f>
        <v/>
      </c>
      <c r="P11" s="76">
        <f>IF(M11&lt;-0.05,"Watch","On Track")</f>
        <v/>
      </c>
    </row>
    <row r="12" ht="16" customHeight="1">
      <c r="A12" s="98" t="inlineStr">
        <is>
          <t>CC-00011</t>
        </is>
      </c>
      <c r="B12" s="99" t="inlineStr">
        <is>
          <t>EVT-2025-001</t>
        </is>
      </c>
      <c r="C12" s="100" t="inlineStr">
        <is>
          <t>Cordavex Internal Meeting Vienna Apr 2025</t>
        </is>
      </c>
      <c r="D12" s="100" t="inlineStr">
        <is>
          <t>Cardiology</t>
        </is>
      </c>
      <c r="E12" s="100" t="inlineStr">
        <is>
          <t>BU Cardiovascular</t>
        </is>
      </c>
      <c r="F12" s="99" t="inlineStr">
        <is>
          <t>Miscellaneous</t>
        </is>
      </c>
      <c r="G12" s="99" t="inlineStr">
        <is>
          <t>Apr-2025</t>
        </is>
      </c>
      <c r="H12" s="99" t="inlineStr">
        <is>
          <t>Q2 2025</t>
        </is>
      </c>
      <c r="I12" s="101" t="n">
        <v>7023.34</v>
      </c>
      <c r="J12" s="101" t="n">
        <v>7611.76</v>
      </c>
      <c r="K12" s="101" t="n">
        <v>7581.1</v>
      </c>
      <c r="L12" s="167">
        <f>I12-J12</f>
        <v/>
      </c>
      <c r="M12" s="168">
        <f>IF(I12=0,0,ROUND((I12-J12)/I12,4))</f>
        <v/>
      </c>
      <c r="N12" s="104">
        <f>IF(I12=0,0,J12/I12)</f>
        <v/>
      </c>
      <c r="O12" s="111">
        <f>IF(L12&gt;=0,"Under","Over")</f>
        <v/>
      </c>
      <c r="P12" s="76">
        <f>IF(M12&lt;-0.05,"Watch","On Track")</f>
        <v/>
      </c>
    </row>
    <row r="13" ht="16" customHeight="1">
      <c r="A13" s="106" t="inlineStr">
        <is>
          <t>CC-00012</t>
        </is>
      </c>
      <c r="B13" s="71" t="inlineStr">
        <is>
          <t>EVT-2025-002</t>
        </is>
      </c>
      <c r="C13" s="70" t="inlineStr">
        <is>
          <t>Eplitazan Investigator Meeting Barcelona Jan 2025</t>
        </is>
      </c>
      <c r="D13" s="70" t="inlineStr">
        <is>
          <t>Cardiology</t>
        </is>
      </c>
      <c r="E13" s="70" t="inlineStr">
        <is>
          <t>BU Cardiovascular</t>
        </is>
      </c>
      <c r="F13" s="71" t="inlineStr">
        <is>
          <t>Airfare</t>
        </is>
      </c>
      <c r="G13" s="71" t="inlineStr">
        <is>
          <t>Jan-2025</t>
        </is>
      </c>
      <c r="H13" s="71" t="inlineStr">
        <is>
          <t>Q1 2025</t>
        </is>
      </c>
      <c r="I13" s="73" t="n">
        <v>32732.37</v>
      </c>
      <c r="J13" s="73" t="n">
        <v>30569.41</v>
      </c>
      <c r="K13" s="73" t="n">
        <v>0</v>
      </c>
      <c r="L13" s="163">
        <f>I13-J13</f>
        <v/>
      </c>
      <c r="M13" s="161">
        <f>IF(I13=0,0,ROUND((I13-J13)/I13,4))</f>
        <v/>
      </c>
      <c r="N13" s="107">
        <f>IF(I13=0,0,J13/I13)</f>
        <v/>
      </c>
      <c r="O13" s="108">
        <f>IF(L13&gt;=0,"Under","Over")</f>
        <v/>
      </c>
      <c r="P13" s="69">
        <f>IF(M13&lt;-0.05,"Watch","On Track")</f>
        <v/>
      </c>
    </row>
    <row r="14" ht="16" customHeight="1">
      <c r="A14" s="98" t="inlineStr">
        <is>
          <t>CC-00013</t>
        </is>
      </c>
      <c r="B14" s="99" t="inlineStr">
        <is>
          <t>EVT-2025-002</t>
        </is>
      </c>
      <c r="C14" s="100" t="inlineStr">
        <is>
          <t>Eplitazan Investigator Meeting Barcelona Jan 2025</t>
        </is>
      </c>
      <c r="D14" s="100" t="inlineStr">
        <is>
          <t>Cardiology</t>
        </is>
      </c>
      <c r="E14" s="100" t="inlineStr">
        <is>
          <t>BU Cardiovascular</t>
        </is>
      </c>
      <c r="F14" s="99" t="inlineStr">
        <is>
          <t>Hotel</t>
        </is>
      </c>
      <c r="G14" s="99" t="inlineStr">
        <is>
          <t>Jan-2025</t>
        </is>
      </c>
      <c r="H14" s="99" t="inlineStr">
        <is>
          <t>Q1 2025</t>
        </is>
      </c>
      <c r="I14" s="101" t="n">
        <v>58918.27</v>
      </c>
      <c r="J14" s="101" t="n">
        <v>56253.41</v>
      </c>
      <c r="K14" s="101" t="n">
        <v>0</v>
      </c>
      <c r="L14" s="165">
        <f>I14-J14</f>
        <v/>
      </c>
      <c r="M14" s="166">
        <f>IF(I14=0,0,ROUND((I14-J14)/I14,4))</f>
        <v/>
      </c>
      <c r="N14" s="104">
        <f>IF(I14=0,0,J14/I14)</f>
        <v/>
      </c>
      <c r="O14" s="105">
        <f>IF(L14&gt;=0,"Under","Over")</f>
        <v/>
      </c>
      <c r="P14" s="69">
        <f>IF(M14&lt;-0.05,"Watch","On Track")</f>
        <v/>
      </c>
    </row>
    <row r="15" ht="16" customHeight="1">
      <c r="A15" s="106" t="inlineStr">
        <is>
          <t>CC-00014</t>
        </is>
      </c>
      <c r="B15" s="71" t="inlineStr">
        <is>
          <t>EVT-2025-002</t>
        </is>
      </c>
      <c r="C15" s="70" t="inlineStr">
        <is>
          <t>Eplitazan Investigator Meeting Barcelona Jan 2025</t>
        </is>
      </c>
      <c r="D15" s="70" t="inlineStr">
        <is>
          <t>Cardiology</t>
        </is>
      </c>
      <c r="E15" s="70" t="inlineStr">
        <is>
          <t>BU Cardiovascular</t>
        </is>
      </c>
      <c r="F15" s="71" t="inlineStr">
        <is>
          <t>Venue</t>
        </is>
      </c>
      <c r="G15" s="71" t="inlineStr">
        <is>
          <t>Jan-2025</t>
        </is>
      </c>
      <c r="H15" s="71" t="inlineStr">
        <is>
          <t>Q1 2025</t>
        </is>
      </c>
      <c r="I15" s="73" t="n">
        <v>49098.56</v>
      </c>
      <c r="J15" s="73" t="n">
        <v>42961.17</v>
      </c>
      <c r="K15" s="73" t="n">
        <v>0</v>
      </c>
      <c r="L15" s="163">
        <f>I15-J15</f>
        <v/>
      </c>
      <c r="M15" s="161">
        <f>IF(I15=0,0,ROUND((I15-J15)/I15,4))</f>
        <v/>
      </c>
      <c r="N15" s="107">
        <f>IF(I15=0,0,J15/I15)</f>
        <v/>
      </c>
      <c r="O15" s="108">
        <f>IF(L15&gt;=0,"Under","Over")</f>
        <v/>
      </c>
      <c r="P15" s="69">
        <f>IF(M15&lt;-0.05,"Watch","On Track")</f>
        <v/>
      </c>
    </row>
    <row r="16" ht="16" customHeight="1">
      <c r="A16" s="98" t="inlineStr">
        <is>
          <t>CC-00015</t>
        </is>
      </c>
      <c r="B16" s="99" t="inlineStr">
        <is>
          <t>EVT-2025-002</t>
        </is>
      </c>
      <c r="C16" s="100" t="inlineStr">
        <is>
          <t>Eplitazan Investigator Meeting Barcelona Jan 2025</t>
        </is>
      </c>
      <c r="D16" s="100" t="inlineStr">
        <is>
          <t>Cardiology</t>
        </is>
      </c>
      <c r="E16" s="100" t="inlineStr">
        <is>
          <t>BU Cardiovascular</t>
        </is>
      </c>
      <c r="F16" s="99" t="inlineStr">
        <is>
          <t>F&amp;B</t>
        </is>
      </c>
      <c r="G16" s="99" t="inlineStr">
        <is>
          <t>Jan-2025</t>
        </is>
      </c>
      <c r="H16" s="99" t="inlineStr">
        <is>
          <t>Q1 2025</t>
        </is>
      </c>
      <c r="I16" s="101" t="n">
        <v>39278.85</v>
      </c>
      <c r="J16" s="101" t="n">
        <v>29269.86</v>
      </c>
      <c r="K16" s="101" t="n">
        <v>0</v>
      </c>
      <c r="L16" s="165">
        <f>I16-J16</f>
        <v/>
      </c>
      <c r="M16" s="166">
        <f>IF(I16=0,0,ROUND((I16-J16)/I16,4))</f>
        <v/>
      </c>
      <c r="N16" s="104">
        <f>IF(I16=0,0,J16/I16)</f>
        <v/>
      </c>
      <c r="O16" s="105">
        <f>IF(L16&gt;=0,"Under","Over")</f>
        <v/>
      </c>
      <c r="P16" s="69">
        <f>IF(M16&lt;-0.05,"Watch","On Track")</f>
        <v/>
      </c>
    </row>
    <row r="17" ht="16" customHeight="1">
      <c r="A17" s="106" t="inlineStr">
        <is>
          <t>CC-00016</t>
        </is>
      </c>
      <c r="B17" s="71" t="inlineStr">
        <is>
          <t>EVT-2025-002</t>
        </is>
      </c>
      <c r="C17" s="70" t="inlineStr">
        <is>
          <t>Eplitazan Investigator Meeting Barcelona Jan 2025</t>
        </is>
      </c>
      <c r="D17" s="70" t="inlineStr">
        <is>
          <t>Cardiology</t>
        </is>
      </c>
      <c r="E17" s="70" t="inlineStr">
        <is>
          <t>BU Cardiovascular</t>
        </is>
      </c>
      <c r="F17" s="71" t="inlineStr">
        <is>
          <t>Logistics</t>
        </is>
      </c>
      <c r="G17" s="71" t="inlineStr">
        <is>
          <t>Jan-2025</t>
        </is>
      </c>
      <c r="H17" s="71" t="inlineStr">
        <is>
          <t>Q1 2025</t>
        </is>
      </c>
      <c r="I17" s="73" t="n">
        <v>19639.42</v>
      </c>
      <c r="J17" s="73" t="n">
        <v>14729.14</v>
      </c>
      <c r="K17" s="73" t="n">
        <v>0</v>
      </c>
      <c r="L17" s="163">
        <f>I17-J17</f>
        <v/>
      </c>
      <c r="M17" s="161">
        <f>IF(I17=0,0,ROUND((I17-J17)/I17,4))</f>
        <v/>
      </c>
      <c r="N17" s="107">
        <f>IF(I17=0,0,J17/I17)</f>
        <v/>
      </c>
      <c r="O17" s="108">
        <f>IF(L17&gt;=0,"Under","Over")</f>
        <v/>
      </c>
      <c r="P17" s="69">
        <f>IF(M17&lt;-0.05,"Watch","On Track")</f>
        <v/>
      </c>
    </row>
    <row r="18" ht="16" customHeight="1">
      <c r="A18" s="98" t="inlineStr">
        <is>
          <t>CC-00017</t>
        </is>
      </c>
      <c r="B18" s="99" t="inlineStr">
        <is>
          <t>EVT-2025-002</t>
        </is>
      </c>
      <c r="C18" s="100" t="inlineStr">
        <is>
          <t>Eplitazan Investigator Meeting Barcelona Jan 2025</t>
        </is>
      </c>
      <c r="D18" s="100" t="inlineStr">
        <is>
          <t>Cardiology</t>
        </is>
      </c>
      <c r="E18" s="100" t="inlineStr">
        <is>
          <t>BU Cardiovascular</t>
        </is>
      </c>
      <c r="F18" s="99" t="inlineStr">
        <is>
          <t>AV &amp; Technology</t>
        </is>
      </c>
      <c r="G18" s="99" t="inlineStr">
        <is>
          <t>Jan-2025</t>
        </is>
      </c>
      <c r="H18" s="99" t="inlineStr">
        <is>
          <t>Q1 2025</t>
        </is>
      </c>
      <c r="I18" s="101" t="n">
        <v>26185.9</v>
      </c>
      <c r="J18" s="101" t="n">
        <v>17773.75</v>
      </c>
      <c r="K18" s="101" t="n">
        <v>0</v>
      </c>
      <c r="L18" s="165">
        <f>I18-J18</f>
        <v/>
      </c>
      <c r="M18" s="166">
        <f>IF(I18=0,0,ROUND((I18-J18)/I18,4))</f>
        <v/>
      </c>
      <c r="N18" s="104">
        <f>IF(I18=0,0,J18/I18)</f>
        <v/>
      </c>
      <c r="O18" s="105">
        <f>IF(L18&gt;=0,"Under","Over")</f>
        <v/>
      </c>
      <c r="P18" s="69">
        <f>IF(M18&lt;-0.05,"Watch","On Track")</f>
        <v/>
      </c>
    </row>
    <row r="19" ht="16" customHeight="1">
      <c r="A19" s="106" t="inlineStr">
        <is>
          <t>CC-00018</t>
        </is>
      </c>
      <c r="B19" s="71" t="inlineStr">
        <is>
          <t>EVT-2025-002</t>
        </is>
      </c>
      <c r="C19" s="70" t="inlineStr">
        <is>
          <t>Eplitazan Investigator Meeting Barcelona Jan 2025</t>
        </is>
      </c>
      <c r="D19" s="70" t="inlineStr">
        <is>
          <t>Cardiology</t>
        </is>
      </c>
      <c r="E19" s="70" t="inlineStr">
        <is>
          <t>BU Cardiovascular</t>
        </is>
      </c>
      <c r="F19" s="71" t="inlineStr">
        <is>
          <t>Agency Fees</t>
        </is>
      </c>
      <c r="G19" s="71" t="inlineStr">
        <is>
          <t>Jan-2025</t>
        </is>
      </c>
      <c r="H19" s="71" t="inlineStr">
        <is>
          <t>Q1 2025</t>
        </is>
      </c>
      <c r="I19" s="73" t="n">
        <v>45825.32</v>
      </c>
      <c r="J19" s="73" t="n">
        <v>43753.19</v>
      </c>
      <c r="K19" s="73" t="n">
        <v>0</v>
      </c>
      <c r="L19" s="163">
        <f>I19-J19</f>
        <v/>
      </c>
      <c r="M19" s="161">
        <f>IF(I19=0,0,ROUND((I19-J19)/I19,4))</f>
        <v/>
      </c>
      <c r="N19" s="107">
        <f>IF(I19=0,0,J19/I19)</f>
        <v/>
      </c>
      <c r="O19" s="108">
        <f>IF(L19&gt;=0,"Under","Over")</f>
        <v/>
      </c>
      <c r="P19" s="69">
        <f>IF(M19&lt;-0.05,"Watch","On Track")</f>
        <v/>
      </c>
    </row>
    <row r="20" ht="16" customHeight="1">
      <c r="A20" s="98" t="inlineStr">
        <is>
          <t>CC-00019</t>
        </is>
      </c>
      <c r="B20" s="99" t="inlineStr">
        <is>
          <t>EVT-2025-002</t>
        </is>
      </c>
      <c r="C20" s="100" t="inlineStr">
        <is>
          <t>Eplitazan Investigator Meeting Barcelona Jan 2025</t>
        </is>
      </c>
      <c r="D20" s="100" t="inlineStr">
        <is>
          <t>Cardiology</t>
        </is>
      </c>
      <c r="E20" s="100" t="inlineStr">
        <is>
          <t>BU Cardiovascular</t>
        </is>
      </c>
      <c r="F20" s="99" t="inlineStr">
        <is>
          <t>Speaker Fees</t>
        </is>
      </c>
      <c r="G20" s="99" t="inlineStr">
        <is>
          <t>Jan-2025</t>
        </is>
      </c>
      <c r="H20" s="99" t="inlineStr">
        <is>
          <t>Q1 2025</t>
        </is>
      </c>
      <c r="I20" s="101" t="n">
        <v>32732.37</v>
      </c>
      <c r="J20" s="101" t="n">
        <v>31099.34</v>
      </c>
      <c r="K20" s="101" t="n">
        <v>0</v>
      </c>
      <c r="L20" s="165">
        <f>I20-J20</f>
        <v/>
      </c>
      <c r="M20" s="166">
        <f>IF(I20=0,0,ROUND((I20-J20)/I20,4))</f>
        <v/>
      </c>
      <c r="N20" s="104">
        <f>IF(I20=0,0,J20/I20)</f>
        <v/>
      </c>
      <c r="O20" s="105">
        <f>IF(L20&gt;=0,"Under","Over")</f>
        <v/>
      </c>
      <c r="P20" s="69">
        <f>IF(M20&lt;-0.05,"Watch","On Track")</f>
        <v/>
      </c>
    </row>
    <row r="21" ht="16" customHeight="1">
      <c r="A21" s="106" t="inlineStr">
        <is>
          <t>CC-00020</t>
        </is>
      </c>
      <c r="B21" s="71" t="inlineStr">
        <is>
          <t>EVT-2025-002</t>
        </is>
      </c>
      <c r="C21" s="70" t="inlineStr">
        <is>
          <t>Eplitazan Investigator Meeting Barcelona Jan 2025</t>
        </is>
      </c>
      <c r="D21" s="70" t="inlineStr">
        <is>
          <t>Cardiology</t>
        </is>
      </c>
      <c r="E21" s="70" t="inlineStr">
        <is>
          <t>BU Cardiovascular</t>
        </is>
      </c>
      <c r="F21" s="71" t="inlineStr">
        <is>
          <t>Translation</t>
        </is>
      </c>
      <c r="G21" s="71" t="inlineStr">
        <is>
          <t>Jan-2025</t>
        </is>
      </c>
      <c r="H21" s="71" t="inlineStr">
        <is>
          <t>Q1 2025</t>
        </is>
      </c>
      <c r="I21" s="73" t="n">
        <v>9819.709999999999</v>
      </c>
      <c r="J21" s="73" t="n">
        <v>6746.59</v>
      </c>
      <c r="K21" s="73" t="n">
        <v>0</v>
      </c>
      <c r="L21" s="163">
        <f>I21-J21</f>
        <v/>
      </c>
      <c r="M21" s="161">
        <f>IF(I21=0,0,ROUND((I21-J21)/I21,4))</f>
        <v/>
      </c>
      <c r="N21" s="107">
        <f>IF(I21=0,0,J21/I21)</f>
        <v/>
      </c>
      <c r="O21" s="108">
        <f>IF(L21&gt;=0,"Under","Over")</f>
        <v/>
      </c>
      <c r="P21" s="69">
        <f>IF(M21&lt;-0.05,"Watch","On Track")</f>
        <v/>
      </c>
    </row>
    <row r="22" ht="16" customHeight="1">
      <c r="A22" s="98" t="inlineStr">
        <is>
          <t>CC-00021</t>
        </is>
      </c>
      <c r="B22" s="99" t="inlineStr">
        <is>
          <t>EVT-2025-002</t>
        </is>
      </c>
      <c r="C22" s="100" t="inlineStr">
        <is>
          <t>Eplitazan Investigator Meeting Barcelona Jan 2025</t>
        </is>
      </c>
      <c r="D22" s="100" t="inlineStr">
        <is>
          <t>Cardiology</t>
        </is>
      </c>
      <c r="E22" s="100" t="inlineStr">
        <is>
          <t>BU Cardiovascular</t>
        </is>
      </c>
      <c r="F22" s="99" t="inlineStr">
        <is>
          <t>Print &amp; Production</t>
        </is>
      </c>
      <c r="G22" s="99" t="inlineStr">
        <is>
          <t>Jan-2025</t>
        </is>
      </c>
      <c r="H22" s="99" t="inlineStr">
        <is>
          <t>Q1 2025</t>
        </is>
      </c>
      <c r="I22" s="101" t="n">
        <v>6546.47</v>
      </c>
      <c r="J22" s="101" t="n">
        <v>5111.13</v>
      </c>
      <c r="K22" s="101" t="n">
        <v>0</v>
      </c>
      <c r="L22" s="165">
        <f>I22-J22</f>
        <v/>
      </c>
      <c r="M22" s="166">
        <f>IF(I22=0,0,ROUND((I22-J22)/I22,4))</f>
        <v/>
      </c>
      <c r="N22" s="104">
        <f>IF(I22=0,0,J22/I22)</f>
        <v/>
      </c>
      <c r="O22" s="105">
        <f>IF(L22&gt;=0,"Under","Over")</f>
        <v/>
      </c>
      <c r="P22" s="69">
        <f>IF(M22&lt;-0.05,"Watch","On Track")</f>
        <v/>
      </c>
    </row>
    <row r="23" ht="16" customHeight="1">
      <c r="A23" s="106" t="inlineStr">
        <is>
          <t>CC-00022</t>
        </is>
      </c>
      <c r="B23" s="71" t="inlineStr">
        <is>
          <t>EVT-2025-002</t>
        </is>
      </c>
      <c r="C23" s="70" t="inlineStr">
        <is>
          <t>Eplitazan Investigator Meeting Barcelona Jan 2025</t>
        </is>
      </c>
      <c r="D23" s="70" t="inlineStr">
        <is>
          <t>Cardiology</t>
        </is>
      </c>
      <c r="E23" s="70" t="inlineStr">
        <is>
          <t>BU Cardiovascular</t>
        </is>
      </c>
      <c r="F23" s="71" t="inlineStr">
        <is>
          <t>Miscellaneous</t>
        </is>
      </c>
      <c r="G23" s="71" t="inlineStr">
        <is>
          <t>Jan-2025</t>
        </is>
      </c>
      <c r="H23" s="71" t="inlineStr">
        <is>
          <t>Q1 2025</t>
        </is>
      </c>
      <c r="I23" s="73" t="n">
        <v>6546.47</v>
      </c>
      <c r="J23" s="73" t="n">
        <v>4661.88</v>
      </c>
      <c r="K23" s="73" t="n">
        <v>0</v>
      </c>
      <c r="L23" s="163">
        <f>I23-J23</f>
        <v/>
      </c>
      <c r="M23" s="161">
        <f>IF(I23=0,0,ROUND((I23-J23)/I23,4))</f>
        <v/>
      </c>
      <c r="N23" s="107">
        <f>IF(I23=0,0,J23/I23)</f>
        <v/>
      </c>
      <c r="O23" s="108">
        <f>IF(L23&gt;=0,"Under","Over")</f>
        <v/>
      </c>
      <c r="P23" s="69">
        <f>IF(M23&lt;-0.05,"Watch","On Track")</f>
        <v/>
      </c>
    </row>
    <row r="24" ht="16" customHeight="1">
      <c r="A24" s="98" t="inlineStr">
        <is>
          <t>CC-00023</t>
        </is>
      </c>
      <c r="B24" s="99" t="inlineStr">
        <is>
          <t>EVT-2025-003</t>
        </is>
      </c>
      <c r="C24" s="100" t="inlineStr">
        <is>
          <t>Influximab Webinar Athens Apr 2025</t>
        </is>
      </c>
      <c r="D24" s="100" t="inlineStr">
        <is>
          <t>Immunology</t>
        </is>
      </c>
      <c r="E24" s="100" t="inlineStr">
        <is>
          <t>BU Immunology</t>
        </is>
      </c>
      <c r="F24" s="99" t="inlineStr">
        <is>
          <t>Airfare</t>
        </is>
      </c>
      <c r="G24" s="99" t="inlineStr">
        <is>
          <t>Apr-2025</t>
        </is>
      </c>
      <c r="H24" s="99" t="inlineStr">
        <is>
          <t>Q2 2025</t>
        </is>
      </c>
      <c r="I24" s="101" t="n">
        <v>41146</v>
      </c>
      <c r="J24" s="101" t="n">
        <v>44954.73</v>
      </c>
      <c r="K24" s="101" t="n">
        <v>42150.44</v>
      </c>
      <c r="L24" s="167">
        <f>I24-J24</f>
        <v/>
      </c>
      <c r="M24" s="168">
        <f>IF(I24=0,0,ROUND((I24-J24)/I24,4))</f>
        <v/>
      </c>
      <c r="N24" s="104">
        <f>IF(I24=0,0,J24/I24)</f>
        <v/>
      </c>
      <c r="O24" s="111">
        <f>IF(L24&gt;=0,"Under","Over")</f>
        <v/>
      </c>
      <c r="P24" s="76">
        <f>IF(M24&lt;-0.05,"Watch","On Track")</f>
        <v/>
      </c>
    </row>
    <row r="25" ht="16" customHeight="1">
      <c r="A25" s="106" t="inlineStr">
        <is>
          <t>CC-00024</t>
        </is>
      </c>
      <c r="B25" s="71" t="inlineStr">
        <is>
          <t>EVT-2025-003</t>
        </is>
      </c>
      <c r="C25" s="70" t="inlineStr">
        <is>
          <t>Influximab Webinar Athens Apr 2025</t>
        </is>
      </c>
      <c r="D25" s="70" t="inlineStr">
        <is>
          <t>Immunology</t>
        </is>
      </c>
      <c r="E25" s="70" t="inlineStr">
        <is>
          <t>BU Immunology</t>
        </is>
      </c>
      <c r="F25" s="71" t="inlineStr">
        <is>
          <t>Hotel</t>
        </is>
      </c>
      <c r="G25" s="71" t="inlineStr">
        <is>
          <t>Apr-2025</t>
        </is>
      </c>
      <c r="H25" s="71" t="inlineStr">
        <is>
          <t>Q2 2025</t>
        </is>
      </c>
      <c r="I25" s="73" t="n">
        <v>74062.81</v>
      </c>
      <c r="J25" s="73" t="n">
        <v>53204.36</v>
      </c>
      <c r="K25" s="73" t="n">
        <v>45128.29</v>
      </c>
      <c r="L25" s="163">
        <f>I25-J25</f>
        <v/>
      </c>
      <c r="M25" s="161">
        <f>IF(I25=0,0,ROUND((I25-J25)/I25,4))</f>
        <v/>
      </c>
      <c r="N25" s="107">
        <f>IF(I25=0,0,J25/I25)</f>
        <v/>
      </c>
      <c r="O25" s="108">
        <f>IF(L25&gt;=0,"Under","Over")</f>
        <v/>
      </c>
      <c r="P25" s="69">
        <f>IF(M25&lt;-0.05,"Watch","On Track")</f>
        <v/>
      </c>
    </row>
    <row r="26" ht="16" customHeight="1">
      <c r="A26" s="98" t="inlineStr">
        <is>
          <t>CC-00025</t>
        </is>
      </c>
      <c r="B26" s="99" t="inlineStr">
        <is>
          <t>EVT-2025-003</t>
        </is>
      </c>
      <c r="C26" s="100" t="inlineStr">
        <is>
          <t>Influximab Webinar Athens Apr 2025</t>
        </is>
      </c>
      <c r="D26" s="100" t="inlineStr">
        <is>
          <t>Immunology</t>
        </is>
      </c>
      <c r="E26" s="100" t="inlineStr">
        <is>
          <t>BU Immunology</t>
        </is>
      </c>
      <c r="F26" s="99" t="inlineStr">
        <is>
          <t>Venue</t>
        </is>
      </c>
      <c r="G26" s="99" t="inlineStr">
        <is>
          <t>Apr-2025</t>
        </is>
      </c>
      <c r="H26" s="99" t="inlineStr">
        <is>
          <t>Q2 2025</t>
        </is>
      </c>
      <c r="I26" s="101" t="n">
        <v>61719</v>
      </c>
      <c r="J26" s="101" t="n">
        <v>48168.49</v>
      </c>
      <c r="K26" s="101" t="n">
        <v>41987.66</v>
      </c>
      <c r="L26" s="165">
        <f>I26-J26</f>
        <v/>
      </c>
      <c r="M26" s="166">
        <f>IF(I26=0,0,ROUND((I26-J26)/I26,4))</f>
        <v/>
      </c>
      <c r="N26" s="104">
        <f>IF(I26=0,0,J26/I26)</f>
        <v/>
      </c>
      <c r="O26" s="105">
        <f>IF(L26&gt;=0,"Under","Over")</f>
        <v/>
      </c>
      <c r="P26" s="69">
        <f>IF(M26&lt;-0.05,"Watch","On Track")</f>
        <v/>
      </c>
    </row>
    <row r="27" ht="16" customHeight="1">
      <c r="A27" s="106" t="inlineStr">
        <is>
          <t>CC-00026</t>
        </is>
      </c>
      <c r="B27" s="71" t="inlineStr">
        <is>
          <t>EVT-2025-003</t>
        </is>
      </c>
      <c r="C27" s="70" t="inlineStr">
        <is>
          <t>Influximab Webinar Athens Apr 2025</t>
        </is>
      </c>
      <c r="D27" s="70" t="inlineStr">
        <is>
          <t>Immunology</t>
        </is>
      </c>
      <c r="E27" s="70" t="inlineStr">
        <is>
          <t>BU Immunology</t>
        </is>
      </c>
      <c r="F27" s="71" t="inlineStr">
        <is>
          <t>F&amp;B</t>
        </is>
      </c>
      <c r="G27" s="71" t="inlineStr">
        <is>
          <t>Apr-2025</t>
        </is>
      </c>
      <c r="H27" s="71" t="inlineStr">
        <is>
          <t>Q2 2025</t>
        </is>
      </c>
      <c r="I27" s="73" t="n">
        <v>49375.2</v>
      </c>
      <c r="J27" s="73" t="n">
        <v>41164.25</v>
      </c>
      <c r="K27" s="73" t="n">
        <v>40954.46</v>
      </c>
      <c r="L27" s="163">
        <f>I27-J27</f>
        <v/>
      </c>
      <c r="M27" s="161">
        <f>IF(I27=0,0,ROUND((I27-J27)/I27,4))</f>
        <v/>
      </c>
      <c r="N27" s="107">
        <f>IF(I27=0,0,J27/I27)</f>
        <v/>
      </c>
      <c r="O27" s="108">
        <f>IF(L27&gt;=0,"Under","Over")</f>
        <v/>
      </c>
      <c r="P27" s="69">
        <f>IF(M27&lt;-0.05,"Watch","On Track")</f>
        <v/>
      </c>
    </row>
    <row r="28" ht="16" customHeight="1">
      <c r="A28" s="98" t="inlineStr">
        <is>
          <t>CC-00027</t>
        </is>
      </c>
      <c r="B28" s="99" t="inlineStr">
        <is>
          <t>EVT-2025-003</t>
        </is>
      </c>
      <c r="C28" s="100" t="inlineStr">
        <is>
          <t>Influximab Webinar Athens Apr 2025</t>
        </is>
      </c>
      <c r="D28" s="100" t="inlineStr">
        <is>
          <t>Immunology</t>
        </is>
      </c>
      <c r="E28" s="100" t="inlineStr">
        <is>
          <t>BU Immunology</t>
        </is>
      </c>
      <c r="F28" s="99" t="inlineStr">
        <is>
          <t>Logistics</t>
        </is>
      </c>
      <c r="G28" s="99" t="inlineStr">
        <is>
          <t>Apr-2025</t>
        </is>
      </c>
      <c r="H28" s="99" t="inlineStr">
        <is>
          <t>Q2 2025</t>
        </is>
      </c>
      <c r="I28" s="101" t="n">
        <v>24687.6</v>
      </c>
      <c r="J28" s="101" t="n">
        <v>16414.43</v>
      </c>
      <c r="K28" s="101" t="n">
        <v>15844.42</v>
      </c>
      <c r="L28" s="165">
        <f>I28-J28</f>
        <v/>
      </c>
      <c r="M28" s="166">
        <f>IF(I28=0,0,ROUND((I28-J28)/I28,4))</f>
        <v/>
      </c>
      <c r="N28" s="104">
        <f>IF(I28=0,0,J28/I28)</f>
        <v/>
      </c>
      <c r="O28" s="105">
        <f>IF(L28&gt;=0,"Under","Over")</f>
        <v/>
      </c>
      <c r="P28" s="69">
        <f>IF(M28&lt;-0.05,"Watch","On Track")</f>
        <v/>
      </c>
    </row>
    <row r="29" ht="16" customHeight="1">
      <c r="A29" s="106" t="inlineStr">
        <is>
          <t>CC-00028</t>
        </is>
      </c>
      <c r="B29" s="71" t="inlineStr">
        <is>
          <t>EVT-2025-003</t>
        </is>
      </c>
      <c r="C29" s="70" t="inlineStr">
        <is>
          <t>Influximab Webinar Athens Apr 2025</t>
        </is>
      </c>
      <c r="D29" s="70" t="inlineStr">
        <is>
          <t>Immunology</t>
        </is>
      </c>
      <c r="E29" s="70" t="inlineStr">
        <is>
          <t>BU Immunology</t>
        </is>
      </c>
      <c r="F29" s="71" t="inlineStr">
        <is>
          <t>AV &amp; Technology</t>
        </is>
      </c>
      <c r="G29" s="71" t="inlineStr">
        <is>
          <t>Apr-2025</t>
        </is>
      </c>
      <c r="H29" s="71" t="inlineStr">
        <is>
          <t>Q2 2025</t>
        </is>
      </c>
      <c r="I29" s="73" t="n">
        <v>32916.8</v>
      </c>
      <c r="J29" s="73" t="n">
        <v>20832.19</v>
      </c>
      <c r="K29" s="73" t="n">
        <v>17070.9</v>
      </c>
      <c r="L29" s="163">
        <f>I29-J29</f>
        <v/>
      </c>
      <c r="M29" s="161">
        <f>IF(I29=0,0,ROUND((I29-J29)/I29,4))</f>
        <v/>
      </c>
      <c r="N29" s="107">
        <f>IF(I29=0,0,J29/I29)</f>
        <v/>
      </c>
      <c r="O29" s="108">
        <f>IF(L29&gt;=0,"Under","Over")</f>
        <v/>
      </c>
      <c r="P29" s="69">
        <f>IF(M29&lt;-0.05,"Watch","On Track")</f>
        <v/>
      </c>
    </row>
    <row r="30" ht="16" customHeight="1">
      <c r="A30" s="98" t="inlineStr">
        <is>
          <t>CC-00029</t>
        </is>
      </c>
      <c r="B30" s="99" t="inlineStr">
        <is>
          <t>EVT-2025-003</t>
        </is>
      </c>
      <c r="C30" s="100" t="inlineStr">
        <is>
          <t>Influximab Webinar Athens Apr 2025</t>
        </is>
      </c>
      <c r="D30" s="100" t="inlineStr">
        <is>
          <t>Immunology</t>
        </is>
      </c>
      <c r="E30" s="100" t="inlineStr">
        <is>
          <t>BU Immunology</t>
        </is>
      </c>
      <c r="F30" s="99" t="inlineStr">
        <is>
          <t>Agency Fees</t>
        </is>
      </c>
      <c r="G30" s="99" t="inlineStr">
        <is>
          <t>Apr-2025</t>
        </is>
      </c>
      <c r="H30" s="99" t="inlineStr">
        <is>
          <t>Q2 2025</t>
        </is>
      </c>
      <c r="I30" s="101" t="n">
        <v>57604.4</v>
      </c>
      <c r="J30" s="101" t="n">
        <v>55211.9</v>
      </c>
      <c r="K30" s="101" t="n">
        <v>46576.73</v>
      </c>
      <c r="L30" s="165">
        <f>I30-J30</f>
        <v/>
      </c>
      <c r="M30" s="166">
        <f>IF(I30=0,0,ROUND((I30-J30)/I30,4))</f>
        <v/>
      </c>
      <c r="N30" s="104">
        <f>IF(I30=0,0,J30/I30)</f>
        <v/>
      </c>
      <c r="O30" s="105">
        <f>IF(L30&gt;=0,"Under","Over")</f>
        <v/>
      </c>
      <c r="P30" s="69">
        <f>IF(M30&lt;-0.05,"Watch","On Track")</f>
        <v/>
      </c>
    </row>
    <row r="31" ht="16" customHeight="1">
      <c r="A31" s="106" t="inlineStr">
        <is>
          <t>CC-00030</t>
        </is>
      </c>
      <c r="B31" s="71" t="inlineStr">
        <is>
          <t>EVT-2025-003</t>
        </is>
      </c>
      <c r="C31" s="70" t="inlineStr">
        <is>
          <t>Influximab Webinar Athens Apr 2025</t>
        </is>
      </c>
      <c r="D31" s="70" t="inlineStr">
        <is>
          <t>Immunology</t>
        </is>
      </c>
      <c r="E31" s="70" t="inlineStr">
        <is>
          <t>BU Immunology</t>
        </is>
      </c>
      <c r="F31" s="71" t="inlineStr">
        <is>
          <t>Speaker Fees</t>
        </is>
      </c>
      <c r="G31" s="71" t="inlineStr">
        <is>
          <t>Apr-2025</t>
        </is>
      </c>
      <c r="H31" s="71" t="inlineStr">
        <is>
          <t>Q2 2025</t>
        </is>
      </c>
      <c r="I31" s="73" t="n">
        <v>41146</v>
      </c>
      <c r="J31" s="73" t="n">
        <v>33138.89</v>
      </c>
      <c r="K31" s="73" t="n">
        <v>27267.67</v>
      </c>
      <c r="L31" s="163">
        <f>I31-J31</f>
        <v/>
      </c>
      <c r="M31" s="161">
        <f>IF(I31=0,0,ROUND((I31-J31)/I31,4))</f>
        <v/>
      </c>
      <c r="N31" s="107">
        <f>IF(I31=0,0,J31/I31)</f>
        <v/>
      </c>
      <c r="O31" s="108">
        <f>IF(L31&gt;=0,"Under","Over")</f>
        <v/>
      </c>
      <c r="P31" s="69">
        <f>IF(M31&lt;-0.05,"Watch","On Track")</f>
        <v/>
      </c>
    </row>
    <row r="32" ht="16" customHeight="1">
      <c r="A32" s="98" t="inlineStr">
        <is>
          <t>CC-00031</t>
        </is>
      </c>
      <c r="B32" s="99" t="inlineStr">
        <is>
          <t>EVT-2025-003</t>
        </is>
      </c>
      <c r="C32" s="100" t="inlineStr">
        <is>
          <t>Influximab Webinar Athens Apr 2025</t>
        </is>
      </c>
      <c r="D32" s="100" t="inlineStr">
        <is>
          <t>Immunology</t>
        </is>
      </c>
      <c r="E32" s="100" t="inlineStr">
        <is>
          <t>BU Immunology</t>
        </is>
      </c>
      <c r="F32" s="99" t="inlineStr">
        <is>
          <t>Translation</t>
        </is>
      </c>
      <c r="G32" s="99" t="inlineStr">
        <is>
          <t>Apr-2025</t>
        </is>
      </c>
      <c r="H32" s="99" t="inlineStr">
        <is>
          <t>Q2 2025</t>
        </is>
      </c>
      <c r="I32" s="101" t="n">
        <v>12343.8</v>
      </c>
      <c r="J32" s="101" t="n">
        <v>10954.51</v>
      </c>
      <c r="K32" s="101" t="n">
        <v>8080.03</v>
      </c>
      <c r="L32" s="165">
        <f>I32-J32</f>
        <v/>
      </c>
      <c r="M32" s="166">
        <f>IF(I32=0,0,ROUND((I32-J32)/I32,4))</f>
        <v/>
      </c>
      <c r="N32" s="104">
        <f>IF(I32=0,0,J32/I32)</f>
        <v/>
      </c>
      <c r="O32" s="105">
        <f>IF(L32&gt;=0,"Under","Over")</f>
        <v/>
      </c>
      <c r="P32" s="69">
        <f>IF(M32&lt;-0.05,"Watch","On Track")</f>
        <v/>
      </c>
    </row>
    <row r="33" ht="16" customHeight="1">
      <c r="A33" s="106" t="inlineStr">
        <is>
          <t>CC-00032</t>
        </is>
      </c>
      <c r="B33" s="71" t="inlineStr">
        <is>
          <t>EVT-2025-003</t>
        </is>
      </c>
      <c r="C33" s="70" t="inlineStr">
        <is>
          <t>Influximab Webinar Athens Apr 2025</t>
        </is>
      </c>
      <c r="D33" s="70" t="inlineStr">
        <is>
          <t>Immunology</t>
        </is>
      </c>
      <c r="E33" s="70" t="inlineStr">
        <is>
          <t>BU Immunology</t>
        </is>
      </c>
      <c r="F33" s="71" t="inlineStr">
        <is>
          <t>Print &amp; Production</t>
        </is>
      </c>
      <c r="G33" s="71" t="inlineStr">
        <is>
          <t>Apr-2025</t>
        </is>
      </c>
      <c r="H33" s="71" t="inlineStr">
        <is>
          <t>Q2 2025</t>
        </is>
      </c>
      <c r="I33" s="73" t="n">
        <v>8229.200000000001</v>
      </c>
      <c r="J33" s="73" t="n">
        <v>6241.96</v>
      </c>
      <c r="K33" s="73" t="n">
        <v>4508.25</v>
      </c>
      <c r="L33" s="163">
        <f>I33-J33</f>
        <v/>
      </c>
      <c r="M33" s="161">
        <f>IF(I33=0,0,ROUND((I33-J33)/I33,4))</f>
        <v/>
      </c>
      <c r="N33" s="107">
        <f>IF(I33=0,0,J33/I33)</f>
        <v/>
      </c>
      <c r="O33" s="108">
        <f>IF(L33&gt;=0,"Under","Over")</f>
        <v/>
      </c>
      <c r="P33" s="69">
        <f>IF(M33&lt;-0.05,"Watch","On Track")</f>
        <v/>
      </c>
    </row>
    <row r="34" ht="16" customHeight="1">
      <c r="A34" s="98" t="inlineStr">
        <is>
          <t>CC-00033</t>
        </is>
      </c>
      <c r="B34" s="99" t="inlineStr">
        <is>
          <t>EVT-2025-003</t>
        </is>
      </c>
      <c r="C34" s="100" t="inlineStr">
        <is>
          <t>Influximab Webinar Athens Apr 2025</t>
        </is>
      </c>
      <c r="D34" s="100" t="inlineStr">
        <is>
          <t>Immunology</t>
        </is>
      </c>
      <c r="E34" s="100" t="inlineStr">
        <is>
          <t>BU Immunology</t>
        </is>
      </c>
      <c r="F34" s="99" t="inlineStr">
        <is>
          <t>Miscellaneous</t>
        </is>
      </c>
      <c r="G34" s="99" t="inlineStr">
        <is>
          <t>Apr-2025</t>
        </is>
      </c>
      <c r="H34" s="99" t="inlineStr">
        <is>
          <t>Q2 2025</t>
        </is>
      </c>
      <c r="I34" s="101" t="n">
        <v>8229.200000000001</v>
      </c>
      <c r="J34" s="101" t="n">
        <v>6854.24</v>
      </c>
      <c r="K34" s="101" t="n">
        <v>5861.8</v>
      </c>
      <c r="L34" s="165">
        <f>I34-J34</f>
        <v/>
      </c>
      <c r="M34" s="166">
        <f>IF(I34=0,0,ROUND((I34-J34)/I34,4))</f>
        <v/>
      </c>
      <c r="N34" s="104">
        <f>IF(I34=0,0,J34/I34)</f>
        <v/>
      </c>
      <c r="O34" s="105">
        <f>IF(L34&gt;=0,"Under","Over")</f>
        <v/>
      </c>
      <c r="P34" s="69">
        <f>IF(M34&lt;-0.05,"Watch","On Track")</f>
        <v/>
      </c>
    </row>
    <row r="35" ht="16" customHeight="1">
      <c r="A35" s="106" t="inlineStr">
        <is>
          <t>CC-00034</t>
        </is>
      </c>
      <c r="B35" s="71" t="inlineStr">
        <is>
          <t>EVT-2025-004</t>
        </is>
      </c>
      <c r="C35" s="70" t="inlineStr">
        <is>
          <t>Cognivex Investigator Meeting Stockholm May 2025</t>
        </is>
      </c>
      <c r="D35" s="70" t="inlineStr">
        <is>
          <t>Neurology</t>
        </is>
      </c>
      <c r="E35" s="70" t="inlineStr">
        <is>
          <t>BU Neuroscience</t>
        </is>
      </c>
      <c r="F35" s="71" t="inlineStr">
        <is>
          <t>Airfare</t>
        </is>
      </c>
      <c r="G35" s="71" t="inlineStr">
        <is>
          <t>May-2025</t>
        </is>
      </c>
      <c r="H35" s="71" t="inlineStr">
        <is>
          <t>Q2 2025</t>
        </is>
      </c>
      <c r="I35" s="73" t="n">
        <v>7515.29</v>
      </c>
      <c r="J35" s="73" t="n">
        <v>4991.41</v>
      </c>
      <c r="K35" s="73" t="n">
        <v>0</v>
      </c>
      <c r="L35" s="163">
        <f>I35-J35</f>
        <v/>
      </c>
      <c r="M35" s="161">
        <f>IF(I35=0,0,ROUND((I35-J35)/I35,4))</f>
        <v/>
      </c>
      <c r="N35" s="107">
        <f>IF(I35=0,0,J35/I35)</f>
        <v/>
      </c>
      <c r="O35" s="108">
        <f>IF(L35&gt;=0,"Under","Over")</f>
        <v/>
      </c>
      <c r="P35" s="69">
        <f>IF(M35&lt;-0.05,"Watch","On Track")</f>
        <v/>
      </c>
    </row>
    <row r="36" ht="16" customHeight="1">
      <c r="A36" s="98" t="inlineStr">
        <is>
          <t>CC-00035</t>
        </is>
      </c>
      <c r="B36" s="99" t="inlineStr">
        <is>
          <t>EVT-2025-004</t>
        </is>
      </c>
      <c r="C36" s="100" t="inlineStr">
        <is>
          <t>Cognivex Investigator Meeting Stockholm May 2025</t>
        </is>
      </c>
      <c r="D36" s="100" t="inlineStr">
        <is>
          <t>Neurology</t>
        </is>
      </c>
      <c r="E36" s="100" t="inlineStr">
        <is>
          <t>BU Neuroscience</t>
        </is>
      </c>
      <c r="F36" s="99" t="inlineStr">
        <is>
          <t>Hotel</t>
        </is>
      </c>
      <c r="G36" s="99" t="inlineStr">
        <is>
          <t>May-2025</t>
        </is>
      </c>
      <c r="H36" s="99" t="inlineStr">
        <is>
          <t>Q2 2025</t>
        </is>
      </c>
      <c r="I36" s="101" t="n">
        <v>13527.51</v>
      </c>
      <c r="J36" s="101" t="n">
        <v>13724.02</v>
      </c>
      <c r="K36" s="101" t="n">
        <v>0</v>
      </c>
      <c r="L36" s="167">
        <f>I36-J36</f>
        <v/>
      </c>
      <c r="M36" s="166">
        <f>IF(I36=0,0,ROUND((I36-J36)/I36,4))</f>
        <v/>
      </c>
      <c r="N36" s="104">
        <f>IF(I36=0,0,J36/I36)</f>
        <v/>
      </c>
      <c r="O36" s="111">
        <f>IF(L36&gt;=0,"Under","Over")</f>
        <v/>
      </c>
      <c r="P36" s="69">
        <f>IF(M36&lt;-0.05,"Watch","On Track")</f>
        <v/>
      </c>
    </row>
    <row r="37" ht="16" customHeight="1">
      <c r="A37" s="106" t="inlineStr">
        <is>
          <t>CC-00036</t>
        </is>
      </c>
      <c r="B37" s="71" t="inlineStr">
        <is>
          <t>EVT-2025-004</t>
        </is>
      </c>
      <c r="C37" s="70" t="inlineStr">
        <is>
          <t>Cognivex Investigator Meeting Stockholm May 2025</t>
        </is>
      </c>
      <c r="D37" s="70" t="inlineStr">
        <is>
          <t>Neurology</t>
        </is>
      </c>
      <c r="E37" s="70" t="inlineStr">
        <is>
          <t>BU Neuroscience</t>
        </is>
      </c>
      <c r="F37" s="71" t="inlineStr">
        <is>
          <t>Venue</t>
        </is>
      </c>
      <c r="G37" s="71" t="inlineStr">
        <is>
          <t>May-2025</t>
        </is>
      </c>
      <c r="H37" s="71" t="inlineStr">
        <is>
          <t>Q2 2025</t>
        </is>
      </c>
      <c r="I37" s="73" t="n">
        <v>11272.93</v>
      </c>
      <c r="J37" s="73" t="n">
        <v>9871.16</v>
      </c>
      <c r="K37" s="73" t="n">
        <v>0</v>
      </c>
      <c r="L37" s="163">
        <f>I37-J37</f>
        <v/>
      </c>
      <c r="M37" s="161">
        <f>IF(I37=0,0,ROUND((I37-J37)/I37,4))</f>
        <v/>
      </c>
      <c r="N37" s="107">
        <f>IF(I37=0,0,J37/I37)</f>
        <v/>
      </c>
      <c r="O37" s="108">
        <f>IF(L37&gt;=0,"Under","Over")</f>
        <v/>
      </c>
      <c r="P37" s="69">
        <f>IF(M37&lt;-0.05,"Watch","On Track")</f>
        <v/>
      </c>
    </row>
    <row r="38" ht="16" customHeight="1">
      <c r="A38" s="98" t="inlineStr">
        <is>
          <t>CC-00037</t>
        </is>
      </c>
      <c r="B38" s="99" t="inlineStr">
        <is>
          <t>EVT-2025-004</t>
        </is>
      </c>
      <c r="C38" s="100" t="inlineStr">
        <is>
          <t>Cognivex Investigator Meeting Stockholm May 2025</t>
        </is>
      </c>
      <c r="D38" s="100" t="inlineStr">
        <is>
          <t>Neurology</t>
        </is>
      </c>
      <c r="E38" s="100" t="inlineStr">
        <is>
          <t>BU Neuroscience</t>
        </is>
      </c>
      <c r="F38" s="99" t="inlineStr">
        <is>
          <t>F&amp;B</t>
        </is>
      </c>
      <c r="G38" s="99" t="inlineStr">
        <is>
          <t>May-2025</t>
        </is>
      </c>
      <c r="H38" s="99" t="inlineStr">
        <is>
          <t>Q2 2025</t>
        </is>
      </c>
      <c r="I38" s="101" t="n">
        <v>9018.34</v>
      </c>
      <c r="J38" s="101" t="n">
        <v>8061.43</v>
      </c>
      <c r="K38" s="101" t="n">
        <v>0</v>
      </c>
      <c r="L38" s="165">
        <f>I38-J38</f>
        <v/>
      </c>
      <c r="M38" s="166">
        <f>IF(I38=0,0,ROUND((I38-J38)/I38,4))</f>
        <v/>
      </c>
      <c r="N38" s="104">
        <f>IF(I38=0,0,J38/I38)</f>
        <v/>
      </c>
      <c r="O38" s="105">
        <f>IF(L38&gt;=0,"Under","Over")</f>
        <v/>
      </c>
      <c r="P38" s="69">
        <f>IF(M38&lt;-0.05,"Watch","On Track")</f>
        <v/>
      </c>
    </row>
    <row r="39" ht="16" customHeight="1">
      <c r="A39" s="106" t="inlineStr">
        <is>
          <t>CC-00038</t>
        </is>
      </c>
      <c r="B39" s="71" t="inlineStr">
        <is>
          <t>EVT-2025-004</t>
        </is>
      </c>
      <c r="C39" s="70" t="inlineStr">
        <is>
          <t>Cognivex Investigator Meeting Stockholm May 2025</t>
        </is>
      </c>
      <c r="D39" s="70" t="inlineStr">
        <is>
          <t>Neurology</t>
        </is>
      </c>
      <c r="E39" s="70" t="inlineStr">
        <is>
          <t>BU Neuroscience</t>
        </is>
      </c>
      <c r="F39" s="71" t="inlineStr">
        <is>
          <t>Logistics</t>
        </is>
      </c>
      <c r="G39" s="71" t="inlineStr">
        <is>
          <t>May-2025</t>
        </is>
      </c>
      <c r="H39" s="71" t="inlineStr">
        <is>
          <t>Q2 2025</t>
        </is>
      </c>
      <c r="I39" s="73" t="n">
        <v>4509.17</v>
      </c>
      <c r="J39" s="73" t="n">
        <v>4436.53</v>
      </c>
      <c r="K39" s="73" t="n">
        <v>0</v>
      </c>
      <c r="L39" s="163">
        <f>I39-J39</f>
        <v/>
      </c>
      <c r="M39" s="161">
        <f>IF(I39=0,0,ROUND((I39-J39)/I39,4))</f>
        <v/>
      </c>
      <c r="N39" s="107">
        <f>IF(I39=0,0,J39/I39)</f>
        <v/>
      </c>
      <c r="O39" s="108">
        <f>IF(L39&gt;=0,"Under","Over")</f>
        <v/>
      </c>
      <c r="P39" s="69">
        <f>IF(M39&lt;-0.05,"Watch","On Track")</f>
        <v/>
      </c>
    </row>
    <row r="40" ht="16" customHeight="1">
      <c r="A40" s="98" t="inlineStr">
        <is>
          <t>CC-00039</t>
        </is>
      </c>
      <c r="B40" s="99" t="inlineStr">
        <is>
          <t>EVT-2025-004</t>
        </is>
      </c>
      <c r="C40" s="100" t="inlineStr">
        <is>
          <t>Cognivex Investigator Meeting Stockholm May 2025</t>
        </is>
      </c>
      <c r="D40" s="100" t="inlineStr">
        <is>
          <t>Neurology</t>
        </is>
      </c>
      <c r="E40" s="100" t="inlineStr">
        <is>
          <t>BU Neuroscience</t>
        </is>
      </c>
      <c r="F40" s="99" t="inlineStr">
        <is>
          <t>AV &amp; Technology</t>
        </is>
      </c>
      <c r="G40" s="99" t="inlineStr">
        <is>
          <t>May-2025</t>
        </is>
      </c>
      <c r="H40" s="99" t="inlineStr">
        <is>
          <t>Q2 2025</t>
        </is>
      </c>
      <c r="I40" s="101" t="n">
        <v>6012.23</v>
      </c>
      <c r="J40" s="101" t="n">
        <v>3995.23</v>
      </c>
      <c r="K40" s="101" t="n">
        <v>0</v>
      </c>
      <c r="L40" s="165">
        <f>I40-J40</f>
        <v/>
      </c>
      <c r="M40" s="166">
        <f>IF(I40=0,0,ROUND((I40-J40)/I40,4))</f>
        <v/>
      </c>
      <c r="N40" s="104">
        <f>IF(I40=0,0,J40/I40)</f>
        <v/>
      </c>
      <c r="O40" s="105">
        <f>IF(L40&gt;=0,"Under","Over")</f>
        <v/>
      </c>
      <c r="P40" s="69">
        <f>IF(M40&lt;-0.05,"Watch","On Track")</f>
        <v/>
      </c>
    </row>
    <row r="41" ht="16" customHeight="1">
      <c r="A41" s="106" t="inlineStr">
        <is>
          <t>CC-00040</t>
        </is>
      </c>
      <c r="B41" s="71" t="inlineStr">
        <is>
          <t>EVT-2025-004</t>
        </is>
      </c>
      <c r="C41" s="70" t="inlineStr">
        <is>
          <t>Cognivex Investigator Meeting Stockholm May 2025</t>
        </is>
      </c>
      <c r="D41" s="70" t="inlineStr">
        <is>
          <t>Neurology</t>
        </is>
      </c>
      <c r="E41" s="70" t="inlineStr">
        <is>
          <t>BU Neuroscience</t>
        </is>
      </c>
      <c r="F41" s="71" t="inlineStr">
        <is>
          <t>Agency Fees</t>
        </is>
      </c>
      <c r="G41" s="71" t="inlineStr">
        <is>
          <t>May-2025</t>
        </is>
      </c>
      <c r="H41" s="71" t="inlineStr">
        <is>
          <t>Q2 2025</t>
        </is>
      </c>
      <c r="I41" s="73" t="n">
        <v>10521.4</v>
      </c>
      <c r="J41" s="73" t="n">
        <v>8958.26</v>
      </c>
      <c r="K41" s="73" t="n">
        <v>0</v>
      </c>
      <c r="L41" s="163">
        <f>I41-J41</f>
        <v/>
      </c>
      <c r="M41" s="161">
        <f>IF(I41=0,0,ROUND((I41-J41)/I41,4))</f>
        <v/>
      </c>
      <c r="N41" s="107">
        <f>IF(I41=0,0,J41/I41)</f>
        <v/>
      </c>
      <c r="O41" s="108">
        <f>IF(L41&gt;=0,"Under","Over")</f>
        <v/>
      </c>
      <c r="P41" s="69">
        <f>IF(M41&lt;-0.05,"Watch","On Track")</f>
        <v/>
      </c>
    </row>
    <row r="42" ht="16" customHeight="1">
      <c r="A42" s="98" t="inlineStr">
        <is>
          <t>CC-00041</t>
        </is>
      </c>
      <c r="B42" s="99" t="inlineStr">
        <is>
          <t>EVT-2025-004</t>
        </is>
      </c>
      <c r="C42" s="100" t="inlineStr">
        <is>
          <t>Cognivex Investigator Meeting Stockholm May 2025</t>
        </is>
      </c>
      <c r="D42" s="100" t="inlineStr">
        <is>
          <t>Neurology</t>
        </is>
      </c>
      <c r="E42" s="100" t="inlineStr">
        <is>
          <t>BU Neuroscience</t>
        </is>
      </c>
      <c r="F42" s="99" t="inlineStr">
        <is>
          <t>Speaker Fees</t>
        </is>
      </c>
      <c r="G42" s="99" t="inlineStr">
        <is>
          <t>May-2025</t>
        </is>
      </c>
      <c r="H42" s="99" t="inlineStr">
        <is>
          <t>Q2 2025</t>
        </is>
      </c>
      <c r="I42" s="101" t="n">
        <v>7515.29</v>
      </c>
      <c r="J42" s="101" t="n">
        <v>7771.61</v>
      </c>
      <c r="K42" s="101" t="n">
        <v>0</v>
      </c>
      <c r="L42" s="167">
        <f>I42-J42</f>
        <v/>
      </c>
      <c r="M42" s="166">
        <f>IF(I42=0,0,ROUND((I42-J42)/I42,4))</f>
        <v/>
      </c>
      <c r="N42" s="104">
        <f>IF(I42=0,0,J42/I42)</f>
        <v/>
      </c>
      <c r="O42" s="111">
        <f>IF(L42&gt;=0,"Under","Over")</f>
        <v/>
      </c>
      <c r="P42" s="69">
        <f>IF(M42&lt;-0.05,"Watch","On Track")</f>
        <v/>
      </c>
    </row>
    <row r="43" ht="16" customHeight="1">
      <c r="A43" s="106" t="inlineStr">
        <is>
          <t>CC-00042</t>
        </is>
      </c>
      <c r="B43" s="71" t="inlineStr">
        <is>
          <t>EVT-2025-004</t>
        </is>
      </c>
      <c r="C43" s="70" t="inlineStr">
        <is>
          <t>Cognivex Investigator Meeting Stockholm May 2025</t>
        </is>
      </c>
      <c r="D43" s="70" t="inlineStr">
        <is>
          <t>Neurology</t>
        </is>
      </c>
      <c r="E43" s="70" t="inlineStr">
        <is>
          <t>BU Neuroscience</t>
        </is>
      </c>
      <c r="F43" s="71" t="inlineStr">
        <is>
          <t>Translation</t>
        </is>
      </c>
      <c r="G43" s="71" t="inlineStr">
        <is>
          <t>May-2025</t>
        </is>
      </c>
      <c r="H43" s="71" t="inlineStr">
        <is>
          <t>Q2 2025</t>
        </is>
      </c>
      <c r="I43" s="73" t="n">
        <v>2254.59</v>
      </c>
      <c r="J43" s="73" t="n">
        <v>2289.98</v>
      </c>
      <c r="K43" s="73" t="n">
        <v>0</v>
      </c>
      <c r="L43" s="158">
        <f>I43-J43</f>
        <v/>
      </c>
      <c r="M43" s="161">
        <f>IF(I43=0,0,ROUND((I43-J43)/I43,4))</f>
        <v/>
      </c>
      <c r="N43" s="107">
        <f>IF(I43=0,0,J43/I43)</f>
        <v/>
      </c>
      <c r="O43" s="112">
        <f>IF(L43&gt;=0,"Under","Over")</f>
        <v/>
      </c>
      <c r="P43" s="69">
        <f>IF(M43&lt;-0.05,"Watch","On Track")</f>
        <v/>
      </c>
    </row>
    <row r="44" ht="16" customHeight="1">
      <c r="A44" s="98" t="inlineStr">
        <is>
          <t>CC-00043</t>
        </is>
      </c>
      <c r="B44" s="99" t="inlineStr">
        <is>
          <t>EVT-2025-004</t>
        </is>
      </c>
      <c r="C44" s="100" t="inlineStr">
        <is>
          <t>Cognivex Investigator Meeting Stockholm May 2025</t>
        </is>
      </c>
      <c r="D44" s="100" t="inlineStr">
        <is>
          <t>Neurology</t>
        </is>
      </c>
      <c r="E44" s="100" t="inlineStr">
        <is>
          <t>BU Neuroscience</t>
        </is>
      </c>
      <c r="F44" s="99" t="inlineStr">
        <is>
          <t>Print &amp; Production</t>
        </is>
      </c>
      <c r="G44" s="99" t="inlineStr">
        <is>
          <t>May-2025</t>
        </is>
      </c>
      <c r="H44" s="99" t="inlineStr">
        <is>
          <t>Q2 2025</t>
        </is>
      </c>
      <c r="I44" s="101" t="n">
        <v>1503.06</v>
      </c>
      <c r="J44" s="101" t="n">
        <v>1291.21</v>
      </c>
      <c r="K44" s="101" t="n">
        <v>0</v>
      </c>
      <c r="L44" s="165">
        <f>I44-J44</f>
        <v/>
      </c>
      <c r="M44" s="166">
        <f>IF(I44=0,0,ROUND((I44-J44)/I44,4))</f>
        <v/>
      </c>
      <c r="N44" s="104">
        <f>IF(I44=0,0,J44/I44)</f>
        <v/>
      </c>
      <c r="O44" s="105">
        <f>IF(L44&gt;=0,"Under","Over")</f>
        <v/>
      </c>
      <c r="P44" s="69">
        <f>IF(M44&lt;-0.05,"Watch","On Track")</f>
        <v/>
      </c>
    </row>
    <row r="45" ht="16" customHeight="1">
      <c r="A45" s="106" t="inlineStr">
        <is>
          <t>CC-00044</t>
        </is>
      </c>
      <c r="B45" s="71" t="inlineStr">
        <is>
          <t>EVT-2025-004</t>
        </is>
      </c>
      <c r="C45" s="70" t="inlineStr">
        <is>
          <t>Cognivex Investigator Meeting Stockholm May 2025</t>
        </is>
      </c>
      <c r="D45" s="70" t="inlineStr">
        <is>
          <t>Neurology</t>
        </is>
      </c>
      <c r="E45" s="70" t="inlineStr">
        <is>
          <t>BU Neuroscience</t>
        </is>
      </c>
      <c r="F45" s="71" t="inlineStr">
        <is>
          <t>Miscellaneous</t>
        </is>
      </c>
      <c r="G45" s="71" t="inlineStr">
        <is>
          <t>May-2025</t>
        </is>
      </c>
      <c r="H45" s="71" t="inlineStr">
        <is>
          <t>Q2 2025</t>
        </is>
      </c>
      <c r="I45" s="73" t="n">
        <v>1503.06</v>
      </c>
      <c r="J45" s="73" t="n">
        <v>1130.39</v>
      </c>
      <c r="K45" s="73" t="n">
        <v>0</v>
      </c>
      <c r="L45" s="163">
        <f>I45-J45</f>
        <v/>
      </c>
      <c r="M45" s="161">
        <f>IF(I45=0,0,ROUND((I45-J45)/I45,4))</f>
        <v/>
      </c>
      <c r="N45" s="107">
        <f>IF(I45=0,0,J45/I45)</f>
        <v/>
      </c>
      <c r="O45" s="108">
        <f>IF(L45&gt;=0,"Under","Over")</f>
        <v/>
      </c>
      <c r="P45" s="69">
        <f>IF(M45&lt;-0.05,"Watch","On Track")</f>
        <v/>
      </c>
    </row>
    <row r="46" ht="16" customHeight="1">
      <c r="A46" s="98" t="inlineStr">
        <is>
          <t>CC-00045</t>
        </is>
      </c>
      <c r="B46" s="99" t="inlineStr">
        <is>
          <t>EVT-2025-005</t>
        </is>
      </c>
      <c r="C46" s="100" t="inlineStr">
        <is>
          <t>Hemaflex Launch Event Brussels Nov 2025</t>
        </is>
      </c>
      <c r="D46" s="100" t="inlineStr">
        <is>
          <t>Hematology</t>
        </is>
      </c>
      <c r="E46" s="100" t="inlineStr">
        <is>
          <t>BU Oncology</t>
        </is>
      </c>
      <c r="F46" s="99" t="inlineStr">
        <is>
          <t>Airfare</t>
        </is>
      </c>
      <c r="G46" s="99" t="inlineStr">
        <is>
          <t>Nov-2025</t>
        </is>
      </c>
      <c r="H46" s="99" t="inlineStr">
        <is>
          <t>Q4 2025</t>
        </is>
      </c>
      <c r="I46" s="101" t="n">
        <v>24364.07</v>
      </c>
      <c r="J46" s="101" t="n">
        <v>16591.53</v>
      </c>
      <c r="K46" s="101" t="n">
        <v>0</v>
      </c>
      <c r="L46" s="165">
        <f>I46-J46</f>
        <v/>
      </c>
      <c r="M46" s="166">
        <f>IF(I46=0,0,ROUND((I46-J46)/I46,4))</f>
        <v/>
      </c>
      <c r="N46" s="104">
        <f>IF(I46=0,0,J46/I46)</f>
        <v/>
      </c>
      <c r="O46" s="105">
        <f>IF(L46&gt;=0,"Under","Over")</f>
        <v/>
      </c>
      <c r="P46" s="69">
        <f>IF(M46&lt;-0.05,"Watch","On Track")</f>
        <v/>
      </c>
    </row>
    <row r="47" ht="16" customHeight="1">
      <c r="A47" s="106" t="inlineStr">
        <is>
          <t>CC-00046</t>
        </is>
      </c>
      <c r="B47" s="71" t="inlineStr">
        <is>
          <t>EVT-2025-005</t>
        </is>
      </c>
      <c r="C47" s="70" t="inlineStr">
        <is>
          <t>Hemaflex Launch Event Brussels Nov 2025</t>
        </is>
      </c>
      <c r="D47" s="70" t="inlineStr">
        <is>
          <t>Hematology</t>
        </is>
      </c>
      <c r="E47" s="70" t="inlineStr">
        <is>
          <t>BU Oncology</t>
        </is>
      </c>
      <c r="F47" s="71" t="inlineStr">
        <is>
          <t>Hotel</t>
        </is>
      </c>
      <c r="G47" s="71" t="inlineStr">
        <is>
          <t>Nov-2025</t>
        </is>
      </c>
      <c r="H47" s="71" t="inlineStr">
        <is>
          <t>Q4 2025</t>
        </is>
      </c>
      <c r="I47" s="73" t="n">
        <v>43855.33</v>
      </c>
      <c r="J47" s="73" t="n">
        <v>46809.82</v>
      </c>
      <c r="K47" s="73" t="n">
        <v>0</v>
      </c>
      <c r="L47" s="158">
        <f>I47-J47</f>
        <v/>
      </c>
      <c r="M47" s="159">
        <f>IF(I47=0,0,ROUND((I47-J47)/I47,4))</f>
        <v/>
      </c>
      <c r="N47" s="107">
        <f>IF(I47=0,0,J47/I47)</f>
        <v/>
      </c>
      <c r="O47" s="112">
        <f>IF(L47&gt;=0,"Under","Over")</f>
        <v/>
      </c>
      <c r="P47" s="76">
        <f>IF(M47&lt;-0.05,"Watch","On Track")</f>
        <v/>
      </c>
    </row>
    <row r="48" ht="16" customHeight="1">
      <c r="A48" s="98" t="inlineStr">
        <is>
          <t>CC-00047</t>
        </is>
      </c>
      <c r="B48" s="99" t="inlineStr">
        <is>
          <t>EVT-2025-005</t>
        </is>
      </c>
      <c r="C48" s="100" t="inlineStr">
        <is>
          <t>Hemaflex Launch Event Brussels Nov 2025</t>
        </is>
      </c>
      <c r="D48" s="100" t="inlineStr">
        <is>
          <t>Hematology</t>
        </is>
      </c>
      <c r="E48" s="100" t="inlineStr">
        <is>
          <t>BU Oncology</t>
        </is>
      </c>
      <c r="F48" s="99" t="inlineStr">
        <is>
          <t>Venue</t>
        </is>
      </c>
      <c r="G48" s="99" t="inlineStr">
        <is>
          <t>Nov-2025</t>
        </is>
      </c>
      <c r="H48" s="99" t="inlineStr">
        <is>
          <t>Q4 2025</t>
        </is>
      </c>
      <c r="I48" s="101" t="n">
        <v>36546.11</v>
      </c>
      <c r="J48" s="101" t="n">
        <v>26047.7</v>
      </c>
      <c r="K48" s="101" t="n">
        <v>0</v>
      </c>
      <c r="L48" s="165">
        <f>I48-J48</f>
        <v/>
      </c>
      <c r="M48" s="166">
        <f>IF(I48=0,0,ROUND((I48-J48)/I48,4))</f>
        <v/>
      </c>
      <c r="N48" s="104">
        <f>IF(I48=0,0,J48/I48)</f>
        <v/>
      </c>
      <c r="O48" s="105">
        <f>IF(L48&gt;=0,"Under","Over")</f>
        <v/>
      </c>
      <c r="P48" s="69">
        <f>IF(M48&lt;-0.05,"Watch","On Track")</f>
        <v/>
      </c>
    </row>
    <row r="49" ht="16" customHeight="1">
      <c r="A49" s="106" t="inlineStr">
        <is>
          <t>CC-00048</t>
        </is>
      </c>
      <c r="B49" s="71" t="inlineStr">
        <is>
          <t>EVT-2025-005</t>
        </is>
      </c>
      <c r="C49" s="70" t="inlineStr">
        <is>
          <t>Hemaflex Launch Event Brussels Nov 2025</t>
        </is>
      </c>
      <c r="D49" s="70" t="inlineStr">
        <is>
          <t>Hematology</t>
        </is>
      </c>
      <c r="E49" s="70" t="inlineStr">
        <is>
          <t>BU Oncology</t>
        </is>
      </c>
      <c r="F49" s="71" t="inlineStr">
        <is>
          <t>F&amp;B</t>
        </is>
      </c>
      <c r="G49" s="71" t="inlineStr">
        <is>
          <t>Nov-2025</t>
        </is>
      </c>
      <c r="H49" s="71" t="inlineStr">
        <is>
          <t>Q4 2025</t>
        </is>
      </c>
      <c r="I49" s="73" t="n">
        <v>29236.89</v>
      </c>
      <c r="J49" s="73" t="n">
        <v>31392.86</v>
      </c>
      <c r="K49" s="73" t="n">
        <v>0</v>
      </c>
      <c r="L49" s="158">
        <f>I49-J49</f>
        <v/>
      </c>
      <c r="M49" s="159">
        <f>IF(I49=0,0,ROUND((I49-J49)/I49,4))</f>
        <v/>
      </c>
      <c r="N49" s="107">
        <f>IF(I49=0,0,J49/I49)</f>
        <v/>
      </c>
      <c r="O49" s="112">
        <f>IF(L49&gt;=0,"Under","Over")</f>
        <v/>
      </c>
      <c r="P49" s="76">
        <f>IF(M49&lt;-0.05,"Watch","On Track")</f>
        <v/>
      </c>
    </row>
    <row r="50" ht="16" customHeight="1">
      <c r="A50" s="98" t="inlineStr">
        <is>
          <t>CC-00049</t>
        </is>
      </c>
      <c r="B50" s="99" t="inlineStr">
        <is>
          <t>EVT-2025-005</t>
        </is>
      </c>
      <c r="C50" s="100" t="inlineStr">
        <is>
          <t>Hemaflex Launch Event Brussels Nov 2025</t>
        </is>
      </c>
      <c r="D50" s="100" t="inlineStr">
        <is>
          <t>Hematology</t>
        </is>
      </c>
      <c r="E50" s="100" t="inlineStr">
        <is>
          <t>BU Oncology</t>
        </is>
      </c>
      <c r="F50" s="99" t="inlineStr">
        <is>
          <t>Logistics</t>
        </is>
      </c>
      <c r="G50" s="99" t="inlineStr">
        <is>
          <t>Nov-2025</t>
        </is>
      </c>
      <c r="H50" s="99" t="inlineStr">
        <is>
          <t>Q4 2025</t>
        </is>
      </c>
      <c r="I50" s="101" t="n">
        <v>14618.44</v>
      </c>
      <c r="J50" s="101" t="n">
        <v>12563.8</v>
      </c>
      <c r="K50" s="101" t="n">
        <v>0</v>
      </c>
      <c r="L50" s="165">
        <f>I50-J50</f>
        <v/>
      </c>
      <c r="M50" s="166">
        <f>IF(I50=0,0,ROUND((I50-J50)/I50,4))</f>
        <v/>
      </c>
      <c r="N50" s="104">
        <f>IF(I50=0,0,J50/I50)</f>
        <v/>
      </c>
      <c r="O50" s="105">
        <f>IF(L50&gt;=0,"Under","Over")</f>
        <v/>
      </c>
      <c r="P50" s="69">
        <f>IF(M50&lt;-0.05,"Watch","On Track")</f>
        <v/>
      </c>
    </row>
    <row r="51" ht="16" customHeight="1">
      <c r="A51" s="106" t="inlineStr">
        <is>
          <t>CC-00050</t>
        </is>
      </c>
      <c r="B51" s="71" t="inlineStr">
        <is>
          <t>EVT-2025-005</t>
        </is>
      </c>
      <c r="C51" s="70" t="inlineStr">
        <is>
          <t>Hemaflex Launch Event Brussels Nov 2025</t>
        </is>
      </c>
      <c r="D51" s="70" t="inlineStr">
        <is>
          <t>Hematology</t>
        </is>
      </c>
      <c r="E51" s="70" t="inlineStr">
        <is>
          <t>BU Oncology</t>
        </is>
      </c>
      <c r="F51" s="71" t="inlineStr">
        <is>
          <t>AV &amp; Technology</t>
        </is>
      </c>
      <c r="G51" s="71" t="inlineStr">
        <is>
          <t>Nov-2025</t>
        </is>
      </c>
      <c r="H51" s="71" t="inlineStr">
        <is>
          <t>Q4 2025</t>
        </is>
      </c>
      <c r="I51" s="73" t="n">
        <v>19491.26</v>
      </c>
      <c r="J51" s="73" t="n">
        <v>14462.99</v>
      </c>
      <c r="K51" s="73" t="n">
        <v>0</v>
      </c>
      <c r="L51" s="163">
        <f>I51-J51</f>
        <v/>
      </c>
      <c r="M51" s="161">
        <f>IF(I51=0,0,ROUND((I51-J51)/I51,4))</f>
        <v/>
      </c>
      <c r="N51" s="107">
        <f>IF(I51=0,0,J51/I51)</f>
        <v/>
      </c>
      <c r="O51" s="108">
        <f>IF(L51&gt;=0,"Under","Over")</f>
        <v/>
      </c>
      <c r="P51" s="69">
        <f>IF(M51&lt;-0.05,"Watch","On Track")</f>
        <v/>
      </c>
    </row>
    <row r="52" ht="16" customHeight="1">
      <c r="A52" s="98" t="inlineStr">
        <is>
          <t>CC-00051</t>
        </is>
      </c>
      <c r="B52" s="99" t="inlineStr">
        <is>
          <t>EVT-2025-005</t>
        </is>
      </c>
      <c r="C52" s="100" t="inlineStr">
        <is>
          <t>Hemaflex Launch Event Brussels Nov 2025</t>
        </is>
      </c>
      <c r="D52" s="100" t="inlineStr">
        <is>
          <t>Hematology</t>
        </is>
      </c>
      <c r="E52" s="100" t="inlineStr">
        <is>
          <t>BU Oncology</t>
        </is>
      </c>
      <c r="F52" s="99" t="inlineStr">
        <is>
          <t>Agency Fees</t>
        </is>
      </c>
      <c r="G52" s="99" t="inlineStr">
        <is>
          <t>Nov-2025</t>
        </is>
      </c>
      <c r="H52" s="99" t="inlineStr">
        <is>
          <t>Q4 2025</t>
        </is>
      </c>
      <c r="I52" s="101" t="n">
        <v>34109.7</v>
      </c>
      <c r="J52" s="101" t="n">
        <v>21810.76</v>
      </c>
      <c r="K52" s="101" t="n">
        <v>0</v>
      </c>
      <c r="L52" s="165">
        <f>I52-J52</f>
        <v/>
      </c>
      <c r="M52" s="166">
        <f>IF(I52=0,0,ROUND((I52-J52)/I52,4))</f>
        <v/>
      </c>
      <c r="N52" s="104">
        <f>IF(I52=0,0,J52/I52)</f>
        <v/>
      </c>
      <c r="O52" s="105">
        <f>IF(L52&gt;=0,"Under","Over")</f>
        <v/>
      </c>
      <c r="P52" s="69">
        <f>IF(M52&lt;-0.05,"Watch","On Track")</f>
        <v/>
      </c>
    </row>
    <row r="53" ht="16" customHeight="1">
      <c r="A53" s="106" t="inlineStr">
        <is>
          <t>CC-00052</t>
        </is>
      </c>
      <c r="B53" s="71" t="inlineStr">
        <is>
          <t>EVT-2025-005</t>
        </is>
      </c>
      <c r="C53" s="70" t="inlineStr">
        <is>
          <t>Hemaflex Launch Event Brussels Nov 2025</t>
        </is>
      </c>
      <c r="D53" s="70" t="inlineStr">
        <is>
          <t>Hematology</t>
        </is>
      </c>
      <c r="E53" s="70" t="inlineStr">
        <is>
          <t>BU Oncology</t>
        </is>
      </c>
      <c r="F53" s="71" t="inlineStr">
        <is>
          <t>Speaker Fees</t>
        </is>
      </c>
      <c r="G53" s="71" t="inlineStr">
        <is>
          <t>Nov-2025</t>
        </is>
      </c>
      <c r="H53" s="71" t="inlineStr">
        <is>
          <t>Q4 2025</t>
        </is>
      </c>
      <c r="I53" s="73" t="n">
        <v>24364.07</v>
      </c>
      <c r="J53" s="73" t="n">
        <v>17009.8</v>
      </c>
      <c r="K53" s="73" t="n">
        <v>0</v>
      </c>
      <c r="L53" s="163">
        <f>I53-J53</f>
        <v/>
      </c>
      <c r="M53" s="161">
        <f>IF(I53=0,0,ROUND((I53-J53)/I53,4))</f>
        <v/>
      </c>
      <c r="N53" s="107">
        <f>IF(I53=0,0,J53/I53)</f>
        <v/>
      </c>
      <c r="O53" s="108">
        <f>IF(L53&gt;=0,"Under","Over")</f>
        <v/>
      </c>
      <c r="P53" s="69">
        <f>IF(M53&lt;-0.05,"Watch","On Track")</f>
        <v/>
      </c>
    </row>
    <row r="54" ht="16" customHeight="1">
      <c r="A54" s="98" t="inlineStr">
        <is>
          <t>CC-00053</t>
        </is>
      </c>
      <c r="B54" s="99" t="inlineStr">
        <is>
          <t>EVT-2025-005</t>
        </is>
      </c>
      <c r="C54" s="100" t="inlineStr">
        <is>
          <t>Hemaflex Launch Event Brussels Nov 2025</t>
        </is>
      </c>
      <c r="D54" s="100" t="inlineStr">
        <is>
          <t>Hematology</t>
        </is>
      </c>
      <c r="E54" s="100" t="inlineStr">
        <is>
          <t>BU Oncology</t>
        </is>
      </c>
      <c r="F54" s="99" t="inlineStr">
        <is>
          <t>Translation</t>
        </is>
      </c>
      <c r="G54" s="99" t="inlineStr">
        <is>
          <t>Nov-2025</t>
        </is>
      </c>
      <c r="H54" s="99" t="inlineStr">
        <is>
          <t>Q4 2025</t>
        </is>
      </c>
      <c r="I54" s="101" t="n">
        <v>7309.22</v>
      </c>
      <c r="J54" s="101" t="n">
        <v>7880.62</v>
      </c>
      <c r="K54" s="101" t="n">
        <v>0</v>
      </c>
      <c r="L54" s="167">
        <f>I54-J54</f>
        <v/>
      </c>
      <c r="M54" s="168">
        <f>IF(I54=0,0,ROUND((I54-J54)/I54,4))</f>
        <v/>
      </c>
      <c r="N54" s="104">
        <f>IF(I54=0,0,J54/I54)</f>
        <v/>
      </c>
      <c r="O54" s="111">
        <f>IF(L54&gt;=0,"Under","Over")</f>
        <v/>
      </c>
      <c r="P54" s="76">
        <f>IF(M54&lt;-0.05,"Watch","On Track")</f>
        <v/>
      </c>
    </row>
    <row r="55" ht="16" customHeight="1">
      <c r="A55" s="106" t="inlineStr">
        <is>
          <t>CC-00054</t>
        </is>
      </c>
      <c r="B55" s="71" t="inlineStr">
        <is>
          <t>EVT-2025-005</t>
        </is>
      </c>
      <c r="C55" s="70" t="inlineStr">
        <is>
          <t>Hemaflex Launch Event Brussels Nov 2025</t>
        </is>
      </c>
      <c r="D55" s="70" t="inlineStr">
        <is>
          <t>Hematology</t>
        </is>
      </c>
      <c r="E55" s="70" t="inlineStr">
        <is>
          <t>BU Oncology</t>
        </is>
      </c>
      <c r="F55" s="71" t="inlineStr">
        <is>
          <t>Print &amp; Production</t>
        </is>
      </c>
      <c r="G55" s="71" t="inlineStr">
        <is>
          <t>Nov-2025</t>
        </is>
      </c>
      <c r="H55" s="71" t="inlineStr">
        <is>
          <t>Q4 2025</t>
        </is>
      </c>
      <c r="I55" s="73" t="n">
        <v>4872.81</v>
      </c>
      <c r="J55" s="73" t="n">
        <v>3592.36</v>
      </c>
      <c r="K55" s="73" t="n">
        <v>0</v>
      </c>
      <c r="L55" s="163">
        <f>I55-J55</f>
        <v/>
      </c>
      <c r="M55" s="161">
        <f>IF(I55=0,0,ROUND((I55-J55)/I55,4))</f>
        <v/>
      </c>
      <c r="N55" s="107">
        <f>IF(I55=0,0,J55/I55)</f>
        <v/>
      </c>
      <c r="O55" s="108">
        <f>IF(L55&gt;=0,"Under","Over")</f>
        <v/>
      </c>
      <c r="P55" s="69">
        <f>IF(M55&lt;-0.05,"Watch","On Track")</f>
        <v/>
      </c>
    </row>
    <row r="56" ht="16" customHeight="1">
      <c r="A56" s="98" t="inlineStr">
        <is>
          <t>CC-00055</t>
        </is>
      </c>
      <c r="B56" s="99" t="inlineStr">
        <is>
          <t>EVT-2025-005</t>
        </is>
      </c>
      <c r="C56" s="100" t="inlineStr">
        <is>
          <t>Hemaflex Launch Event Brussels Nov 2025</t>
        </is>
      </c>
      <c r="D56" s="100" t="inlineStr">
        <is>
          <t>Hematology</t>
        </is>
      </c>
      <c r="E56" s="100" t="inlineStr">
        <is>
          <t>BU Oncology</t>
        </is>
      </c>
      <c r="F56" s="99" t="inlineStr">
        <is>
          <t>Miscellaneous</t>
        </is>
      </c>
      <c r="G56" s="99" t="inlineStr">
        <is>
          <t>Nov-2025</t>
        </is>
      </c>
      <c r="H56" s="99" t="inlineStr">
        <is>
          <t>Q4 2025</t>
        </is>
      </c>
      <c r="I56" s="101" t="n">
        <v>4872.81</v>
      </c>
      <c r="J56" s="101" t="n">
        <v>4446.49</v>
      </c>
      <c r="K56" s="101" t="n">
        <v>0</v>
      </c>
      <c r="L56" s="165">
        <f>I56-J56</f>
        <v/>
      </c>
      <c r="M56" s="166">
        <f>IF(I56=0,0,ROUND((I56-J56)/I56,4))</f>
        <v/>
      </c>
      <c r="N56" s="104">
        <f>IF(I56=0,0,J56/I56)</f>
        <v/>
      </c>
      <c r="O56" s="105">
        <f>IF(L56&gt;=0,"Under","Over")</f>
        <v/>
      </c>
      <c r="P56" s="69">
        <f>IF(M56&lt;-0.05,"Watch","On Track")</f>
        <v/>
      </c>
    </row>
    <row r="57" ht="16" customHeight="1">
      <c r="A57" s="106" t="inlineStr">
        <is>
          <t>CC-00056</t>
        </is>
      </c>
      <c r="B57" s="71" t="inlineStr">
        <is>
          <t>EVT-2025-006</t>
        </is>
      </c>
      <c r="C57" s="70" t="inlineStr">
        <is>
          <t>Miotrex Advisory Board Istanbul May 2025</t>
        </is>
      </c>
      <c r="D57" s="70" t="inlineStr">
        <is>
          <t>Cardiology</t>
        </is>
      </c>
      <c r="E57" s="70" t="inlineStr">
        <is>
          <t>BU Cardiovascular</t>
        </is>
      </c>
      <c r="F57" s="71" t="inlineStr">
        <is>
          <t>Airfare</t>
        </is>
      </c>
      <c r="G57" s="71" t="inlineStr">
        <is>
          <t>May-2025</t>
        </is>
      </c>
      <c r="H57" s="71" t="inlineStr">
        <is>
          <t>Q2 2025</t>
        </is>
      </c>
      <c r="I57" s="73" t="n">
        <v>4765.74</v>
      </c>
      <c r="J57" s="73" t="n">
        <v>4323.55</v>
      </c>
      <c r="K57" s="73" t="n">
        <v>3147.67</v>
      </c>
      <c r="L57" s="163">
        <f>I57-J57</f>
        <v/>
      </c>
      <c r="M57" s="161">
        <f>IF(I57=0,0,ROUND((I57-J57)/I57,4))</f>
        <v/>
      </c>
      <c r="N57" s="107">
        <f>IF(I57=0,0,J57/I57)</f>
        <v/>
      </c>
      <c r="O57" s="108">
        <f>IF(L57&gt;=0,"Under","Over")</f>
        <v/>
      </c>
      <c r="P57" s="69">
        <f>IF(M57&lt;-0.05,"Watch","On Track")</f>
        <v/>
      </c>
    </row>
    <row r="58" ht="16" customHeight="1">
      <c r="A58" s="98" t="inlineStr">
        <is>
          <t>CC-00057</t>
        </is>
      </c>
      <c r="B58" s="99" t="inlineStr">
        <is>
          <t>EVT-2025-006</t>
        </is>
      </c>
      <c r="C58" s="100" t="inlineStr">
        <is>
          <t>Miotrex Advisory Board Istanbul May 2025</t>
        </is>
      </c>
      <c r="D58" s="100" t="inlineStr">
        <is>
          <t>Cardiology</t>
        </is>
      </c>
      <c r="E58" s="100" t="inlineStr">
        <is>
          <t>BU Cardiovascular</t>
        </is>
      </c>
      <c r="F58" s="99" t="inlineStr">
        <is>
          <t>Hotel</t>
        </is>
      </c>
      <c r="G58" s="99" t="inlineStr">
        <is>
          <t>May-2025</t>
        </is>
      </c>
      <c r="H58" s="99" t="inlineStr">
        <is>
          <t>Q2 2025</t>
        </is>
      </c>
      <c r="I58" s="101" t="n">
        <v>8578.32</v>
      </c>
      <c r="J58" s="101" t="n">
        <v>7896.29</v>
      </c>
      <c r="K58" s="101" t="n">
        <v>6929.33</v>
      </c>
      <c r="L58" s="165">
        <f>I58-J58</f>
        <v/>
      </c>
      <c r="M58" s="166">
        <f>IF(I58=0,0,ROUND((I58-J58)/I58,4))</f>
        <v/>
      </c>
      <c r="N58" s="104">
        <f>IF(I58=0,0,J58/I58)</f>
        <v/>
      </c>
      <c r="O58" s="105">
        <f>IF(L58&gt;=0,"Under","Over")</f>
        <v/>
      </c>
      <c r="P58" s="69">
        <f>IF(M58&lt;-0.05,"Watch","On Track")</f>
        <v/>
      </c>
    </row>
    <row r="59" ht="16" customHeight="1">
      <c r="A59" s="106" t="inlineStr">
        <is>
          <t>CC-00058</t>
        </is>
      </c>
      <c r="B59" s="71" t="inlineStr">
        <is>
          <t>EVT-2025-006</t>
        </is>
      </c>
      <c r="C59" s="70" t="inlineStr">
        <is>
          <t>Miotrex Advisory Board Istanbul May 2025</t>
        </is>
      </c>
      <c r="D59" s="70" t="inlineStr">
        <is>
          <t>Cardiology</t>
        </is>
      </c>
      <c r="E59" s="70" t="inlineStr">
        <is>
          <t>BU Cardiovascular</t>
        </is>
      </c>
      <c r="F59" s="71" t="inlineStr">
        <is>
          <t>Venue</t>
        </is>
      </c>
      <c r="G59" s="71" t="inlineStr">
        <is>
          <t>May-2025</t>
        </is>
      </c>
      <c r="H59" s="71" t="inlineStr">
        <is>
          <t>Q2 2025</t>
        </is>
      </c>
      <c r="I59" s="73" t="n">
        <v>7148.6</v>
      </c>
      <c r="J59" s="73" t="n">
        <v>6364.56</v>
      </c>
      <c r="K59" s="73" t="n">
        <v>4782.08</v>
      </c>
      <c r="L59" s="163">
        <f>I59-J59</f>
        <v/>
      </c>
      <c r="M59" s="161">
        <f>IF(I59=0,0,ROUND((I59-J59)/I59,4))</f>
        <v/>
      </c>
      <c r="N59" s="107">
        <f>IF(I59=0,0,J59/I59)</f>
        <v/>
      </c>
      <c r="O59" s="108">
        <f>IF(L59&gt;=0,"Under","Over")</f>
        <v/>
      </c>
      <c r="P59" s="69">
        <f>IF(M59&lt;-0.05,"Watch","On Track")</f>
        <v/>
      </c>
    </row>
    <row r="60" ht="16" customHeight="1">
      <c r="A60" s="98" t="inlineStr">
        <is>
          <t>CC-00059</t>
        </is>
      </c>
      <c r="B60" s="99" t="inlineStr">
        <is>
          <t>EVT-2025-006</t>
        </is>
      </c>
      <c r="C60" s="100" t="inlineStr">
        <is>
          <t>Miotrex Advisory Board Istanbul May 2025</t>
        </is>
      </c>
      <c r="D60" s="100" t="inlineStr">
        <is>
          <t>Cardiology</t>
        </is>
      </c>
      <c r="E60" s="100" t="inlineStr">
        <is>
          <t>BU Cardiovascular</t>
        </is>
      </c>
      <c r="F60" s="99" t="inlineStr">
        <is>
          <t>F&amp;B</t>
        </is>
      </c>
      <c r="G60" s="99" t="inlineStr">
        <is>
          <t>May-2025</t>
        </is>
      </c>
      <c r="H60" s="99" t="inlineStr">
        <is>
          <t>Q2 2025</t>
        </is>
      </c>
      <c r="I60" s="101" t="n">
        <v>5718.88</v>
      </c>
      <c r="J60" s="101" t="n">
        <v>5216.99</v>
      </c>
      <c r="K60" s="101" t="n">
        <v>5063.61</v>
      </c>
      <c r="L60" s="165">
        <f>I60-J60</f>
        <v/>
      </c>
      <c r="M60" s="166">
        <f>IF(I60=0,0,ROUND((I60-J60)/I60,4))</f>
        <v/>
      </c>
      <c r="N60" s="104">
        <f>IF(I60=0,0,J60/I60)</f>
        <v/>
      </c>
      <c r="O60" s="105">
        <f>IF(L60&gt;=0,"Under","Over")</f>
        <v/>
      </c>
      <c r="P60" s="69">
        <f>IF(M60&lt;-0.05,"Watch","On Track")</f>
        <v/>
      </c>
    </row>
    <row r="61" ht="16" customHeight="1">
      <c r="A61" s="106" t="inlineStr">
        <is>
          <t>CC-00060</t>
        </is>
      </c>
      <c r="B61" s="71" t="inlineStr">
        <is>
          <t>EVT-2025-006</t>
        </is>
      </c>
      <c r="C61" s="70" t="inlineStr">
        <is>
          <t>Miotrex Advisory Board Istanbul May 2025</t>
        </is>
      </c>
      <c r="D61" s="70" t="inlineStr">
        <is>
          <t>Cardiology</t>
        </is>
      </c>
      <c r="E61" s="70" t="inlineStr">
        <is>
          <t>BU Cardiovascular</t>
        </is>
      </c>
      <c r="F61" s="71" t="inlineStr">
        <is>
          <t>Logistics</t>
        </is>
      </c>
      <c r="G61" s="71" t="inlineStr">
        <is>
          <t>May-2025</t>
        </is>
      </c>
      <c r="H61" s="71" t="inlineStr">
        <is>
          <t>Q2 2025</t>
        </is>
      </c>
      <c r="I61" s="73" t="n">
        <v>2859.44</v>
      </c>
      <c r="J61" s="73" t="n">
        <v>2198.37</v>
      </c>
      <c r="K61" s="73" t="n">
        <v>2148.2</v>
      </c>
      <c r="L61" s="163">
        <f>I61-J61</f>
        <v/>
      </c>
      <c r="M61" s="161">
        <f>IF(I61=0,0,ROUND((I61-J61)/I61,4))</f>
        <v/>
      </c>
      <c r="N61" s="107">
        <f>IF(I61=0,0,J61/I61)</f>
        <v/>
      </c>
      <c r="O61" s="108">
        <f>IF(L61&gt;=0,"Under","Over")</f>
        <v/>
      </c>
      <c r="P61" s="69">
        <f>IF(M61&lt;-0.05,"Watch","On Track")</f>
        <v/>
      </c>
    </row>
    <row r="62" ht="16" customHeight="1">
      <c r="A62" s="98" t="inlineStr">
        <is>
          <t>CC-00061</t>
        </is>
      </c>
      <c r="B62" s="99" t="inlineStr">
        <is>
          <t>EVT-2025-006</t>
        </is>
      </c>
      <c r="C62" s="100" t="inlineStr">
        <is>
          <t>Miotrex Advisory Board Istanbul May 2025</t>
        </is>
      </c>
      <c r="D62" s="100" t="inlineStr">
        <is>
          <t>Cardiology</t>
        </is>
      </c>
      <c r="E62" s="100" t="inlineStr">
        <is>
          <t>BU Cardiovascular</t>
        </is>
      </c>
      <c r="F62" s="99" t="inlineStr">
        <is>
          <t>AV &amp; Technology</t>
        </is>
      </c>
      <c r="G62" s="99" t="inlineStr">
        <is>
          <t>May-2025</t>
        </is>
      </c>
      <c r="H62" s="99" t="inlineStr">
        <is>
          <t>Q2 2025</t>
        </is>
      </c>
      <c r="I62" s="101" t="n">
        <v>3812.59</v>
      </c>
      <c r="J62" s="101" t="n">
        <v>2366.08</v>
      </c>
      <c r="K62" s="101" t="n">
        <v>2269.39</v>
      </c>
      <c r="L62" s="165">
        <f>I62-J62</f>
        <v/>
      </c>
      <c r="M62" s="166">
        <f>IF(I62=0,0,ROUND((I62-J62)/I62,4))</f>
        <v/>
      </c>
      <c r="N62" s="104">
        <f>IF(I62=0,0,J62/I62)</f>
        <v/>
      </c>
      <c r="O62" s="105">
        <f>IF(L62&gt;=0,"Under","Over")</f>
        <v/>
      </c>
      <c r="P62" s="69">
        <f>IF(M62&lt;-0.05,"Watch","On Track")</f>
        <v/>
      </c>
    </row>
    <row r="63" ht="16" customHeight="1">
      <c r="A63" s="106" t="inlineStr">
        <is>
          <t>CC-00062</t>
        </is>
      </c>
      <c r="B63" s="71" t="inlineStr">
        <is>
          <t>EVT-2025-006</t>
        </is>
      </c>
      <c r="C63" s="70" t="inlineStr">
        <is>
          <t>Miotrex Advisory Board Istanbul May 2025</t>
        </is>
      </c>
      <c r="D63" s="70" t="inlineStr">
        <is>
          <t>Cardiology</t>
        </is>
      </c>
      <c r="E63" s="70" t="inlineStr">
        <is>
          <t>BU Cardiovascular</t>
        </is>
      </c>
      <c r="F63" s="71" t="inlineStr">
        <is>
          <t>Agency Fees</t>
        </is>
      </c>
      <c r="G63" s="71" t="inlineStr">
        <is>
          <t>May-2025</t>
        </is>
      </c>
      <c r="H63" s="71" t="inlineStr">
        <is>
          <t>Q2 2025</t>
        </is>
      </c>
      <c r="I63" s="73" t="n">
        <v>6672.03</v>
      </c>
      <c r="J63" s="73" t="n">
        <v>4274.18</v>
      </c>
      <c r="K63" s="73" t="n">
        <v>4208.2</v>
      </c>
      <c r="L63" s="163">
        <f>I63-J63</f>
        <v/>
      </c>
      <c r="M63" s="161">
        <f>IF(I63=0,0,ROUND((I63-J63)/I63,4))</f>
        <v/>
      </c>
      <c r="N63" s="107">
        <f>IF(I63=0,0,J63/I63)</f>
        <v/>
      </c>
      <c r="O63" s="108">
        <f>IF(L63&gt;=0,"Under","Over")</f>
        <v/>
      </c>
      <c r="P63" s="69">
        <f>IF(M63&lt;-0.05,"Watch","On Track")</f>
        <v/>
      </c>
    </row>
    <row r="64" ht="16" customHeight="1">
      <c r="A64" s="98" t="inlineStr">
        <is>
          <t>CC-00063</t>
        </is>
      </c>
      <c r="B64" s="99" t="inlineStr">
        <is>
          <t>EVT-2025-006</t>
        </is>
      </c>
      <c r="C64" s="100" t="inlineStr">
        <is>
          <t>Miotrex Advisory Board Istanbul May 2025</t>
        </is>
      </c>
      <c r="D64" s="100" t="inlineStr">
        <is>
          <t>Cardiology</t>
        </is>
      </c>
      <c r="E64" s="100" t="inlineStr">
        <is>
          <t>BU Cardiovascular</t>
        </is>
      </c>
      <c r="F64" s="99" t="inlineStr">
        <is>
          <t>Speaker Fees</t>
        </is>
      </c>
      <c r="G64" s="99" t="inlineStr">
        <is>
          <t>May-2025</t>
        </is>
      </c>
      <c r="H64" s="99" t="inlineStr">
        <is>
          <t>Q2 2025</t>
        </is>
      </c>
      <c r="I64" s="101" t="n">
        <v>4765.74</v>
      </c>
      <c r="J64" s="101" t="n">
        <v>4696.69</v>
      </c>
      <c r="K64" s="101" t="n">
        <v>3660.59</v>
      </c>
      <c r="L64" s="165">
        <f>I64-J64</f>
        <v/>
      </c>
      <c r="M64" s="166">
        <f>IF(I64=0,0,ROUND((I64-J64)/I64,4))</f>
        <v/>
      </c>
      <c r="N64" s="104">
        <f>IF(I64=0,0,J64/I64)</f>
        <v/>
      </c>
      <c r="O64" s="105">
        <f>IF(L64&gt;=0,"Under","Over")</f>
        <v/>
      </c>
      <c r="P64" s="69">
        <f>IF(M64&lt;-0.05,"Watch","On Track")</f>
        <v/>
      </c>
    </row>
    <row r="65" ht="16" customHeight="1">
      <c r="A65" s="106" t="inlineStr">
        <is>
          <t>CC-00064</t>
        </is>
      </c>
      <c r="B65" s="71" t="inlineStr">
        <is>
          <t>EVT-2025-006</t>
        </is>
      </c>
      <c r="C65" s="70" t="inlineStr">
        <is>
          <t>Miotrex Advisory Board Istanbul May 2025</t>
        </is>
      </c>
      <c r="D65" s="70" t="inlineStr">
        <is>
          <t>Cardiology</t>
        </is>
      </c>
      <c r="E65" s="70" t="inlineStr">
        <is>
          <t>BU Cardiovascular</t>
        </is>
      </c>
      <c r="F65" s="71" t="inlineStr">
        <is>
          <t>Translation</t>
        </is>
      </c>
      <c r="G65" s="71" t="inlineStr">
        <is>
          <t>May-2025</t>
        </is>
      </c>
      <c r="H65" s="71" t="inlineStr">
        <is>
          <t>Q2 2025</t>
        </is>
      </c>
      <c r="I65" s="73" t="n">
        <v>1429.72</v>
      </c>
      <c r="J65" s="73" t="n">
        <v>1008.53</v>
      </c>
      <c r="K65" s="73" t="n">
        <v>879.08</v>
      </c>
      <c r="L65" s="163">
        <f>I65-J65</f>
        <v/>
      </c>
      <c r="M65" s="161">
        <f>IF(I65=0,0,ROUND((I65-J65)/I65,4))</f>
        <v/>
      </c>
      <c r="N65" s="107">
        <f>IF(I65=0,0,J65/I65)</f>
        <v/>
      </c>
      <c r="O65" s="108">
        <f>IF(L65&gt;=0,"Under","Over")</f>
        <v/>
      </c>
      <c r="P65" s="69">
        <f>IF(M65&lt;-0.05,"Watch","On Track")</f>
        <v/>
      </c>
    </row>
    <row r="66" ht="16" customHeight="1">
      <c r="A66" s="98" t="inlineStr">
        <is>
          <t>CC-00065</t>
        </is>
      </c>
      <c r="B66" s="99" t="inlineStr">
        <is>
          <t>EVT-2025-006</t>
        </is>
      </c>
      <c r="C66" s="100" t="inlineStr">
        <is>
          <t>Miotrex Advisory Board Istanbul May 2025</t>
        </is>
      </c>
      <c r="D66" s="100" t="inlineStr">
        <is>
          <t>Cardiology</t>
        </is>
      </c>
      <c r="E66" s="100" t="inlineStr">
        <is>
          <t>BU Cardiovascular</t>
        </is>
      </c>
      <c r="F66" s="99" t="inlineStr">
        <is>
          <t>Print &amp; Production</t>
        </is>
      </c>
      <c r="G66" s="99" t="inlineStr">
        <is>
          <t>May-2025</t>
        </is>
      </c>
      <c r="H66" s="99" t="inlineStr">
        <is>
          <t>Q2 2025</t>
        </is>
      </c>
      <c r="I66" s="101" t="n">
        <v>953.15</v>
      </c>
      <c r="J66" s="101" t="n">
        <v>866.47</v>
      </c>
      <c r="K66" s="101" t="n">
        <v>614.4</v>
      </c>
      <c r="L66" s="165">
        <f>I66-J66</f>
        <v/>
      </c>
      <c r="M66" s="166">
        <f>IF(I66=0,0,ROUND((I66-J66)/I66,4))</f>
        <v/>
      </c>
      <c r="N66" s="104">
        <f>IF(I66=0,0,J66/I66)</f>
        <v/>
      </c>
      <c r="O66" s="105">
        <f>IF(L66&gt;=0,"Under","Over")</f>
        <v/>
      </c>
      <c r="P66" s="69">
        <f>IF(M66&lt;-0.05,"Watch","On Track")</f>
        <v/>
      </c>
    </row>
    <row r="67" ht="16" customHeight="1">
      <c r="A67" s="106" t="inlineStr">
        <is>
          <t>CC-00066</t>
        </is>
      </c>
      <c r="B67" s="71" t="inlineStr">
        <is>
          <t>EVT-2025-006</t>
        </is>
      </c>
      <c r="C67" s="70" t="inlineStr">
        <is>
          <t>Miotrex Advisory Board Istanbul May 2025</t>
        </is>
      </c>
      <c r="D67" s="70" t="inlineStr">
        <is>
          <t>Cardiology</t>
        </is>
      </c>
      <c r="E67" s="70" t="inlineStr">
        <is>
          <t>BU Cardiovascular</t>
        </is>
      </c>
      <c r="F67" s="71" t="inlineStr">
        <is>
          <t>Miscellaneous</t>
        </is>
      </c>
      <c r="G67" s="71" t="inlineStr">
        <is>
          <t>May-2025</t>
        </is>
      </c>
      <c r="H67" s="71" t="inlineStr">
        <is>
          <t>Q2 2025</t>
        </is>
      </c>
      <c r="I67" s="73" t="n">
        <v>953.15</v>
      </c>
      <c r="J67" s="73" t="n">
        <v>995.5599999999999</v>
      </c>
      <c r="K67" s="73" t="n">
        <v>859.84</v>
      </c>
      <c r="L67" s="158">
        <f>I67-J67</f>
        <v/>
      </c>
      <c r="M67" s="161">
        <f>IF(I67=0,0,ROUND((I67-J67)/I67,4))</f>
        <v/>
      </c>
      <c r="N67" s="107">
        <f>IF(I67=0,0,J67/I67)</f>
        <v/>
      </c>
      <c r="O67" s="112">
        <f>IF(L67&gt;=0,"Under","Over")</f>
        <v/>
      </c>
      <c r="P67" s="69">
        <f>IF(M67&lt;-0.05,"Watch","On Track")</f>
        <v/>
      </c>
    </row>
    <row r="68" ht="16" customHeight="1">
      <c r="A68" s="98" t="inlineStr">
        <is>
          <t>CC-00067</t>
        </is>
      </c>
      <c r="B68" s="99" t="inlineStr">
        <is>
          <t>EVT-2025-007</t>
        </is>
      </c>
      <c r="C68" s="100" t="inlineStr">
        <is>
          <t>Bioflair Advisory Board Vienna Feb 2025</t>
        </is>
      </c>
      <c r="D68" s="100" t="inlineStr">
        <is>
          <t>Immunology</t>
        </is>
      </c>
      <c r="E68" s="100" t="inlineStr">
        <is>
          <t>BU Immunology</t>
        </is>
      </c>
      <c r="F68" s="99" t="inlineStr">
        <is>
          <t>Airfare</t>
        </is>
      </c>
      <c r="G68" s="99" t="inlineStr">
        <is>
          <t>Feb-2025</t>
        </is>
      </c>
      <c r="H68" s="99" t="inlineStr">
        <is>
          <t>Q1 2025</t>
        </is>
      </c>
      <c r="I68" s="101" t="n">
        <v>41411.81</v>
      </c>
      <c r="J68" s="101" t="n">
        <v>38138.36</v>
      </c>
      <c r="K68" s="101" t="n">
        <v>30153.26</v>
      </c>
      <c r="L68" s="165">
        <f>I68-J68</f>
        <v/>
      </c>
      <c r="M68" s="166">
        <f>IF(I68=0,0,ROUND((I68-J68)/I68,4))</f>
        <v/>
      </c>
      <c r="N68" s="104">
        <f>IF(I68=0,0,J68/I68)</f>
        <v/>
      </c>
      <c r="O68" s="105">
        <f>IF(L68&gt;=0,"Under","Over")</f>
        <v/>
      </c>
      <c r="P68" s="69">
        <f>IF(M68&lt;-0.05,"Watch","On Track")</f>
        <v/>
      </c>
    </row>
    <row r="69" ht="16" customHeight="1">
      <c r="A69" s="106" t="inlineStr">
        <is>
          <t>CC-00068</t>
        </is>
      </c>
      <c r="B69" s="71" t="inlineStr">
        <is>
          <t>EVT-2025-007</t>
        </is>
      </c>
      <c r="C69" s="70" t="inlineStr">
        <is>
          <t>Bioflair Advisory Board Vienna Feb 2025</t>
        </is>
      </c>
      <c r="D69" s="70" t="inlineStr">
        <is>
          <t>Immunology</t>
        </is>
      </c>
      <c r="E69" s="70" t="inlineStr">
        <is>
          <t>BU Immunology</t>
        </is>
      </c>
      <c r="F69" s="71" t="inlineStr">
        <is>
          <t>Hotel</t>
        </is>
      </c>
      <c r="G69" s="71" t="inlineStr">
        <is>
          <t>Feb-2025</t>
        </is>
      </c>
      <c r="H69" s="71" t="inlineStr">
        <is>
          <t>Q1 2025</t>
        </is>
      </c>
      <c r="I69" s="73" t="n">
        <v>74541.25</v>
      </c>
      <c r="J69" s="73" t="n">
        <v>53851.5</v>
      </c>
      <c r="K69" s="73" t="n">
        <v>50739.14</v>
      </c>
      <c r="L69" s="163">
        <f>I69-J69</f>
        <v/>
      </c>
      <c r="M69" s="161">
        <f>IF(I69=0,0,ROUND((I69-J69)/I69,4))</f>
        <v/>
      </c>
      <c r="N69" s="107">
        <f>IF(I69=0,0,J69/I69)</f>
        <v/>
      </c>
      <c r="O69" s="108">
        <f>IF(L69&gt;=0,"Under","Over")</f>
        <v/>
      </c>
      <c r="P69" s="69">
        <f>IF(M69&lt;-0.05,"Watch","On Track")</f>
        <v/>
      </c>
    </row>
    <row r="70" ht="16" customHeight="1">
      <c r="A70" s="98" t="inlineStr">
        <is>
          <t>CC-00069</t>
        </is>
      </c>
      <c r="B70" s="99" t="inlineStr">
        <is>
          <t>EVT-2025-007</t>
        </is>
      </c>
      <c r="C70" s="100" t="inlineStr">
        <is>
          <t>Bioflair Advisory Board Vienna Feb 2025</t>
        </is>
      </c>
      <c r="D70" s="100" t="inlineStr">
        <is>
          <t>Immunology</t>
        </is>
      </c>
      <c r="E70" s="100" t="inlineStr">
        <is>
          <t>BU Immunology</t>
        </is>
      </c>
      <c r="F70" s="99" t="inlineStr">
        <is>
          <t>Venue</t>
        </is>
      </c>
      <c r="G70" s="99" t="inlineStr">
        <is>
          <t>Feb-2025</t>
        </is>
      </c>
      <c r="H70" s="99" t="inlineStr">
        <is>
          <t>Q1 2025</t>
        </is>
      </c>
      <c r="I70" s="101" t="n">
        <v>62117.71</v>
      </c>
      <c r="J70" s="101" t="n">
        <v>49883.39</v>
      </c>
      <c r="K70" s="101" t="n">
        <v>41705.67</v>
      </c>
      <c r="L70" s="165">
        <f>I70-J70</f>
        <v/>
      </c>
      <c r="M70" s="166">
        <f>IF(I70=0,0,ROUND((I70-J70)/I70,4))</f>
        <v/>
      </c>
      <c r="N70" s="104">
        <f>IF(I70=0,0,J70/I70)</f>
        <v/>
      </c>
      <c r="O70" s="105">
        <f>IF(L70&gt;=0,"Under","Over")</f>
        <v/>
      </c>
      <c r="P70" s="69">
        <f>IF(M70&lt;-0.05,"Watch","On Track")</f>
        <v/>
      </c>
    </row>
    <row r="71" ht="16" customHeight="1">
      <c r="A71" s="106" t="inlineStr">
        <is>
          <t>CC-00070</t>
        </is>
      </c>
      <c r="B71" s="71" t="inlineStr">
        <is>
          <t>EVT-2025-007</t>
        </is>
      </c>
      <c r="C71" s="70" t="inlineStr">
        <is>
          <t>Bioflair Advisory Board Vienna Feb 2025</t>
        </is>
      </c>
      <c r="D71" s="70" t="inlineStr">
        <is>
          <t>Immunology</t>
        </is>
      </c>
      <c r="E71" s="70" t="inlineStr">
        <is>
          <t>BU Immunology</t>
        </is>
      </c>
      <c r="F71" s="71" t="inlineStr">
        <is>
          <t>F&amp;B</t>
        </is>
      </c>
      <c r="G71" s="71" t="inlineStr">
        <is>
          <t>Feb-2025</t>
        </is>
      </c>
      <c r="H71" s="71" t="inlineStr">
        <is>
          <t>Q1 2025</t>
        </is>
      </c>
      <c r="I71" s="73" t="n">
        <v>49694.17</v>
      </c>
      <c r="J71" s="73" t="n">
        <v>46926.54</v>
      </c>
      <c r="K71" s="73" t="n">
        <v>35074.03</v>
      </c>
      <c r="L71" s="163">
        <f>I71-J71</f>
        <v/>
      </c>
      <c r="M71" s="161">
        <f>IF(I71=0,0,ROUND((I71-J71)/I71,4))</f>
        <v/>
      </c>
      <c r="N71" s="107">
        <f>IF(I71=0,0,J71/I71)</f>
        <v/>
      </c>
      <c r="O71" s="108">
        <f>IF(L71&gt;=0,"Under","Over")</f>
        <v/>
      </c>
      <c r="P71" s="69">
        <f>IF(M71&lt;-0.05,"Watch","On Track")</f>
        <v/>
      </c>
    </row>
    <row r="72" ht="16" customHeight="1">
      <c r="A72" s="98" t="inlineStr">
        <is>
          <t>CC-00071</t>
        </is>
      </c>
      <c r="B72" s="99" t="inlineStr">
        <is>
          <t>EVT-2025-007</t>
        </is>
      </c>
      <c r="C72" s="100" t="inlineStr">
        <is>
          <t>Bioflair Advisory Board Vienna Feb 2025</t>
        </is>
      </c>
      <c r="D72" s="100" t="inlineStr">
        <is>
          <t>Immunology</t>
        </is>
      </c>
      <c r="E72" s="100" t="inlineStr">
        <is>
          <t>BU Immunology</t>
        </is>
      </c>
      <c r="F72" s="99" t="inlineStr">
        <is>
          <t>Logistics</t>
        </is>
      </c>
      <c r="G72" s="99" t="inlineStr">
        <is>
          <t>Feb-2025</t>
        </is>
      </c>
      <c r="H72" s="99" t="inlineStr">
        <is>
          <t>Q1 2025</t>
        </is>
      </c>
      <c r="I72" s="101" t="n">
        <v>24847.08</v>
      </c>
      <c r="J72" s="101" t="n">
        <v>20071.74</v>
      </c>
      <c r="K72" s="101" t="n">
        <v>16846.87</v>
      </c>
      <c r="L72" s="165">
        <f>I72-J72</f>
        <v/>
      </c>
      <c r="M72" s="166">
        <f>IF(I72=0,0,ROUND((I72-J72)/I72,4))</f>
        <v/>
      </c>
      <c r="N72" s="104">
        <f>IF(I72=0,0,J72/I72)</f>
        <v/>
      </c>
      <c r="O72" s="105">
        <f>IF(L72&gt;=0,"Under","Over")</f>
        <v/>
      </c>
      <c r="P72" s="69">
        <f>IF(M72&lt;-0.05,"Watch","On Track")</f>
        <v/>
      </c>
    </row>
    <row r="73" ht="16" customHeight="1">
      <c r="A73" s="106" t="inlineStr">
        <is>
          <t>CC-00072</t>
        </is>
      </c>
      <c r="B73" s="71" t="inlineStr">
        <is>
          <t>EVT-2025-007</t>
        </is>
      </c>
      <c r="C73" s="70" t="inlineStr">
        <is>
          <t>Bioflair Advisory Board Vienna Feb 2025</t>
        </is>
      </c>
      <c r="D73" s="70" t="inlineStr">
        <is>
          <t>Immunology</t>
        </is>
      </c>
      <c r="E73" s="70" t="inlineStr">
        <is>
          <t>BU Immunology</t>
        </is>
      </c>
      <c r="F73" s="71" t="inlineStr">
        <is>
          <t>AV &amp; Technology</t>
        </is>
      </c>
      <c r="G73" s="71" t="inlineStr">
        <is>
          <t>Feb-2025</t>
        </is>
      </c>
      <c r="H73" s="71" t="inlineStr">
        <is>
          <t>Q1 2025</t>
        </is>
      </c>
      <c r="I73" s="73" t="n">
        <v>33129.44</v>
      </c>
      <c r="J73" s="73" t="n">
        <v>25512.86</v>
      </c>
      <c r="K73" s="73" t="n">
        <v>18958.62</v>
      </c>
      <c r="L73" s="163">
        <f>I73-J73</f>
        <v/>
      </c>
      <c r="M73" s="161">
        <f>IF(I73=0,0,ROUND((I73-J73)/I73,4))</f>
        <v/>
      </c>
      <c r="N73" s="107">
        <f>IF(I73=0,0,J73/I73)</f>
        <v/>
      </c>
      <c r="O73" s="108">
        <f>IF(L73&gt;=0,"Under","Over")</f>
        <v/>
      </c>
      <c r="P73" s="69">
        <f>IF(M73&lt;-0.05,"Watch","On Track")</f>
        <v/>
      </c>
    </row>
    <row r="74" ht="16" customHeight="1">
      <c r="A74" s="98" t="inlineStr">
        <is>
          <t>CC-00073</t>
        </is>
      </c>
      <c r="B74" s="99" t="inlineStr">
        <is>
          <t>EVT-2025-007</t>
        </is>
      </c>
      <c r="C74" s="100" t="inlineStr">
        <is>
          <t>Bioflair Advisory Board Vienna Feb 2025</t>
        </is>
      </c>
      <c r="D74" s="100" t="inlineStr">
        <is>
          <t>Immunology</t>
        </is>
      </c>
      <c r="E74" s="100" t="inlineStr">
        <is>
          <t>BU Immunology</t>
        </is>
      </c>
      <c r="F74" s="99" t="inlineStr">
        <is>
          <t>Agency Fees</t>
        </is>
      </c>
      <c r="G74" s="99" t="inlineStr">
        <is>
          <t>Feb-2025</t>
        </is>
      </c>
      <c r="H74" s="99" t="inlineStr">
        <is>
          <t>Q1 2025</t>
        </is>
      </c>
      <c r="I74" s="101" t="n">
        <v>57976.53</v>
      </c>
      <c r="J74" s="101" t="n">
        <v>59758.88</v>
      </c>
      <c r="K74" s="101" t="n">
        <v>47555.81</v>
      </c>
      <c r="L74" s="167">
        <f>I74-J74</f>
        <v/>
      </c>
      <c r="M74" s="166">
        <f>IF(I74=0,0,ROUND((I74-J74)/I74,4))</f>
        <v/>
      </c>
      <c r="N74" s="104">
        <f>IF(I74=0,0,J74/I74)</f>
        <v/>
      </c>
      <c r="O74" s="111">
        <f>IF(L74&gt;=0,"Under","Over")</f>
        <v/>
      </c>
      <c r="P74" s="69">
        <f>IF(M74&lt;-0.05,"Watch","On Track")</f>
        <v/>
      </c>
    </row>
    <row r="75" ht="16" customHeight="1">
      <c r="A75" s="106" t="inlineStr">
        <is>
          <t>CC-00074</t>
        </is>
      </c>
      <c r="B75" s="71" t="inlineStr">
        <is>
          <t>EVT-2025-007</t>
        </is>
      </c>
      <c r="C75" s="70" t="inlineStr">
        <is>
          <t>Bioflair Advisory Board Vienna Feb 2025</t>
        </is>
      </c>
      <c r="D75" s="70" t="inlineStr">
        <is>
          <t>Immunology</t>
        </is>
      </c>
      <c r="E75" s="70" t="inlineStr">
        <is>
          <t>BU Immunology</t>
        </is>
      </c>
      <c r="F75" s="71" t="inlineStr">
        <is>
          <t>Speaker Fees</t>
        </is>
      </c>
      <c r="G75" s="71" t="inlineStr">
        <is>
          <t>Feb-2025</t>
        </is>
      </c>
      <c r="H75" s="71" t="inlineStr">
        <is>
          <t>Q1 2025</t>
        </is>
      </c>
      <c r="I75" s="73" t="n">
        <v>41411.81</v>
      </c>
      <c r="J75" s="73" t="n">
        <v>45305</v>
      </c>
      <c r="K75" s="73" t="n">
        <v>36407.6</v>
      </c>
      <c r="L75" s="158">
        <f>I75-J75</f>
        <v/>
      </c>
      <c r="M75" s="159">
        <f>IF(I75=0,0,ROUND((I75-J75)/I75,4))</f>
        <v/>
      </c>
      <c r="N75" s="107">
        <f>IF(I75=0,0,J75/I75)</f>
        <v/>
      </c>
      <c r="O75" s="112">
        <f>IF(L75&gt;=0,"Under","Over")</f>
        <v/>
      </c>
      <c r="P75" s="76">
        <f>IF(M75&lt;-0.05,"Watch","On Track")</f>
        <v/>
      </c>
    </row>
    <row r="76" ht="16" customHeight="1">
      <c r="A76" s="98" t="inlineStr">
        <is>
          <t>CC-00075</t>
        </is>
      </c>
      <c r="B76" s="99" t="inlineStr">
        <is>
          <t>EVT-2025-007</t>
        </is>
      </c>
      <c r="C76" s="100" t="inlineStr">
        <is>
          <t>Bioflair Advisory Board Vienna Feb 2025</t>
        </is>
      </c>
      <c r="D76" s="100" t="inlineStr">
        <is>
          <t>Immunology</t>
        </is>
      </c>
      <c r="E76" s="100" t="inlineStr">
        <is>
          <t>BU Immunology</t>
        </is>
      </c>
      <c r="F76" s="99" t="inlineStr">
        <is>
          <t>Translation</t>
        </is>
      </c>
      <c r="G76" s="99" t="inlineStr">
        <is>
          <t>Feb-2025</t>
        </is>
      </c>
      <c r="H76" s="99" t="inlineStr">
        <is>
          <t>Q1 2025</t>
        </is>
      </c>
      <c r="I76" s="101" t="n">
        <v>12423.54</v>
      </c>
      <c r="J76" s="101" t="n">
        <v>9930.860000000001</v>
      </c>
      <c r="K76" s="101" t="n">
        <v>9217.82</v>
      </c>
      <c r="L76" s="165">
        <f>I76-J76</f>
        <v/>
      </c>
      <c r="M76" s="166">
        <f>IF(I76=0,0,ROUND((I76-J76)/I76,4))</f>
        <v/>
      </c>
      <c r="N76" s="104">
        <f>IF(I76=0,0,J76/I76)</f>
        <v/>
      </c>
      <c r="O76" s="105">
        <f>IF(L76&gt;=0,"Under","Over")</f>
        <v/>
      </c>
      <c r="P76" s="69">
        <f>IF(M76&lt;-0.05,"Watch","On Track")</f>
        <v/>
      </c>
    </row>
    <row r="77" ht="16" customHeight="1">
      <c r="A77" s="106" t="inlineStr">
        <is>
          <t>CC-00076</t>
        </is>
      </c>
      <c r="B77" s="71" t="inlineStr">
        <is>
          <t>EVT-2025-007</t>
        </is>
      </c>
      <c r="C77" s="70" t="inlineStr">
        <is>
          <t>Bioflair Advisory Board Vienna Feb 2025</t>
        </is>
      </c>
      <c r="D77" s="70" t="inlineStr">
        <is>
          <t>Immunology</t>
        </is>
      </c>
      <c r="E77" s="70" t="inlineStr">
        <is>
          <t>BU Immunology</t>
        </is>
      </c>
      <c r="F77" s="71" t="inlineStr">
        <is>
          <t>Print &amp; Production</t>
        </is>
      </c>
      <c r="G77" s="71" t="inlineStr">
        <is>
          <t>Feb-2025</t>
        </is>
      </c>
      <c r="H77" s="71" t="inlineStr">
        <is>
          <t>Q1 2025</t>
        </is>
      </c>
      <c r="I77" s="73" t="n">
        <v>8282.360000000001</v>
      </c>
      <c r="J77" s="73" t="n">
        <v>7102.04</v>
      </c>
      <c r="K77" s="73" t="n">
        <v>5197.66</v>
      </c>
      <c r="L77" s="163">
        <f>I77-J77</f>
        <v/>
      </c>
      <c r="M77" s="161">
        <f>IF(I77=0,0,ROUND((I77-J77)/I77,4))</f>
        <v/>
      </c>
      <c r="N77" s="107">
        <f>IF(I77=0,0,J77/I77)</f>
        <v/>
      </c>
      <c r="O77" s="108">
        <f>IF(L77&gt;=0,"Under","Over")</f>
        <v/>
      </c>
      <c r="P77" s="69">
        <f>IF(M77&lt;-0.05,"Watch","On Track")</f>
        <v/>
      </c>
    </row>
    <row r="78" ht="16" customHeight="1">
      <c r="A78" s="98" t="inlineStr">
        <is>
          <t>CC-00077</t>
        </is>
      </c>
      <c r="B78" s="99" t="inlineStr">
        <is>
          <t>EVT-2025-007</t>
        </is>
      </c>
      <c r="C78" s="100" t="inlineStr">
        <is>
          <t>Bioflair Advisory Board Vienna Feb 2025</t>
        </is>
      </c>
      <c r="D78" s="100" t="inlineStr">
        <is>
          <t>Immunology</t>
        </is>
      </c>
      <c r="E78" s="100" t="inlineStr">
        <is>
          <t>BU Immunology</t>
        </is>
      </c>
      <c r="F78" s="99" t="inlineStr">
        <is>
          <t>Miscellaneous</t>
        </is>
      </c>
      <c r="G78" s="99" t="inlineStr">
        <is>
          <t>Feb-2025</t>
        </is>
      </c>
      <c r="H78" s="99" t="inlineStr">
        <is>
          <t>Q1 2025</t>
        </is>
      </c>
      <c r="I78" s="101" t="n">
        <v>8282.360000000001</v>
      </c>
      <c r="J78" s="101" t="n">
        <v>5970.5</v>
      </c>
      <c r="K78" s="101" t="n">
        <v>4398.81</v>
      </c>
      <c r="L78" s="165">
        <f>I78-J78</f>
        <v/>
      </c>
      <c r="M78" s="166">
        <f>IF(I78=0,0,ROUND((I78-J78)/I78,4))</f>
        <v/>
      </c>
      <c r="N78" s="104">
        <f>IF(I78=0,0,J78/I78)</f>
        <v/>
      </c>
      <c r="O78" s="105">
        <f>IF(L78&gt;=0,"Under","Over")</f>
        <v/>
      </c>
      <c r="P78" s="69">
        <f>IF(M78&lt;-0.05,"Watch","On Track")</f>
        <v/>
      </c>
    </row>
    <row r="79" ht="16" customHeight="1">
      <c r="A79" s="106" t="inlineStr">
        <is>
          <t>CC-00078</t>
        </is>
      </c>
      <c r="B79" s="71" t="inlineStr">
        <is>
          <t>EVT-2025-008</t>
        </is>
      </c>
      <c r="C79" s="70" t="inlineStr">
        <is>
          <t>Axotrin Launch Event Amsterdam Dec 2025</t>
        </is>
      </c>
      <c r="D79" s="70" t="inlineStr">
        <is>
          <t>Neurology</t>
        </is>
      </c>
      <c r="E79" s="70" t="inlineStr">
        <is>
          <t>BU Neuroscience</t>
        </is>
      </c>
      <c r="F79" s="71" t="inlineStr">
        <is>
          <t>Airfare</t>
        </is>
      </c>
      <c r="G79" s="71" t="inlineStr">
        <is>
          <t>Dec-2025</t>
        </is>
      </c>
      <c r="H79" s="71" t="inlineStr">
        <is>
          <t>Q4 2025</t>
        </is>
      </c>
      <c r="I79" s="73" t="n">
        <v>33976.5</v>
      </c>
      <c r="J79" s="73" t="n">
        <v>28023.75</v>
      </c>
      <c r="K79" s="73" t="n">
        <v>20801</v>
      </c>
      <c r="L79" s="163">
        <f>I79-J79</f>
        <v/>
      </c>
      <c r="M79" s="161">
        <f>IF(I79=0,0,ROUND((I79-J79)/I79,4))</f>
        <v/>
      </c>
      <c r="N79" s="107">
        <f>IF(I79=0,0,J79/I79)</f>
        <v/>
      </c>
      <c r="O79" s="108">
        <f>IF(L79&gt;=0,"Under","Over")</f>
        <v/>
      </c>
      <c r="P79" s="69">
        <f>IF(M79&lt;-0.05,"Watch","On Track")</f>
        <v/>
      </c>
    </row>
    <row r="80" ht="16" customHeight="1">
      <c r="A80" s="98" t="inlineStr">
        <is>
          <t>CC-00079</t>
        </is>
      </c>
      <c r="B80" s="99" t="inlineStr">
        <is>
          <t>EVT-2025-008</t>
        </is>
      </c>
      <c r="C80" s="100" t="inlineStr">
        <is>
          <t>Axotrin Launch Event Amsterdam Dec 2025</t>
        </is>
      </c>
      <c r="D80" s="100" t="inlineStr">
        <is>
          <t>Neurology</t>
        </is>
      </c>
      <c r="E80" s="100" t="inlineStr">
        <is>
          <t>BU Neuroscience</t>
        </is>
      </c>
      <c r="F80" s="99" t="inlineStr">
        <is>
          <t>Hotel</t>
        </is>
      </c>
      <c r="G80" s="99" t="inlineStr">
        <is>
          <t>Dec-2025</t>
        </is>
      </c>
      <c r="H80" s="99" t="inlineStr">
        <is>
          <t>Q4 2025</t>
        </is>
      </c>
      <c r="I80" s="101" t="n">
        <v>61157.71</v>
      </c>
      <c r="J80" s="101" t="n">
        <v>38242.08</v>
      </c>
      <c r="K80" s="101" t="n">
        <v>37615.5</v>
      </c>
      <c r="L80" s="165">
        <f>I80-J80</f>
        <v/>
      </c>
      <c r="M80" s="166">
        <f>IF(I80=0,0,ROUND((I80-J80)/I80,4))</f>
        <v/>
      </c>
      <c r="N80" s="104">
        <f>IF(I80=0,0,J80/I80)</f>
        <v/>
      </c>
      <c r="O80" s="105">
        <f>IF(L80&gt;=0,"Under","Over")</f>
        <v/>
      </c>
      <c r="P80" s="69">
        <f>IF(M80&lt;-0.05,"Watch","On Track")</f>
        <v/>
      </c>
    </row>
    <row r="81" ht="16" customHeight="1">
      <c r="A81" s="106" t="inlineStr">
        <is>
          <t>CC-00080</t>
        </is>
      </c>
      <c r="B81" s="71" t="inlineStr">
        <is>
          <t>EVT-2025-008</t>
        </is>
      </c>
      <c r="C81" s="70" t="inlineStr">
        <is>
          <t>Axotrin Launch Event Amsterdam Dec 2025</t>
        </is>
      </c>
      <c r="D81" s="70" t="inlineStr">
        <is>
          <t>Neurology</t>
        </is>
      </c>
      <c r="E81" s="70" t="inlineStr">
        <is>
          <t>BU Neuroscience</t>
        </is>
      </c>
      <c r="F81" s="71" t="inlineStr">
        <is>
          <t>Venue</t>
        </is>
      </c>
      <c r="G81" s="71" t="inlineStr">
        <is>
          <t>Dec-2025</t>
        </is>
      </c>
      <c r="H81" s="71" t="inlineStr">
        <is>
          <t>Q4 2025</t>
        </is>
      </c>
      <c r="I81" s="73" t="n">
        <v>50964.75</v>
      </c>
      <c r="J81" s="73" t="n">
        <v>52599.8</v>
      </c>
      <c r="K81" s="73" t="n">
        <v>43418</v>
      </c>
      <c r="L81" s="158">
        <f>I81-J81</f>
        <v/>
      </c>
      <c r="M81" s="161">
        <f>IF(I81=0,0,ROUND((I81-J81)/I81,4))</f>
        <v/>
      </c>
      <c r="N81" s="107">
        <f>IF(I81=0,0,J81/I81)</f>
        <v/>
      </c>
      <c r="O81" s="112">
        <f>IF(L81&gt;=0,"Under","Over")</f>
        <v/>
      </c>
      <c r="P81" s="69">
        <f>IF(M81&lt;-0.05,"Watch","On Track")</f>
        <v/>
      </c>
    </row>
    <row r="82" ht="16" customHeight="1">
      <c r="A82" s="98" t="inlineStr">
        <is>
          <t>CC-00081</t>
        </is>
      </c>
      <c r="B82" s="99" t="inlineStr">
        <is>
          <t>EVT-2025-008</t>
        </is>
      </c>
      <c r="C82" s="100" t="inlineStr">
        <is>
          <t>Axotrin Launch Event Amsterdam Dec 2025</t>
        </is>
      </c>
      <c r="D82" s="100" t="inlineStr">
        <is>
          <t>Neurology</t>
        </is>
      </c>
      <c r="E82" s="100" t="inlineStr">
        <is>
          <t>BU Neuroscience</t>
        </is>
      </c>
      <c r="F82" s="99" t="inlineStr">
        <is>
          <t>F&amp;B</t>
        </is>
      </c>
      <c r="G82" s="99" t="inlineStr">
        <is>
          <t>Dec-2025</t>
        </is>
      </c>
      <c r="H82" s="99" t="inlineStr">
        <is>
          <t>Q4 2025</t>
        </is>
      </c>
      <c r="I82" s="101" t="n">
        <v>40771.8</v>
      </c>
      <c r="J82" s="101" t="n">
        <v>44088.3</v>
      </c>
      <c r="K82" s="101" t="n">
        <v>42796.22</v>
      </c>
      <c r="L82" s="167">
        <f>I82-J82</f>
        <v/>
      </c>
      <c r="M82" s="168">
        <f>IF(I82=0,0,ROUND((I82-J82)/I82,4))</f>
        <v/>
      </c>
      <c r="N82" s="104">
        <f>IF(I82=0,0,J82/I82)</f>
        <v/>
      </c>
      <c r="O82" s="111">
        <f>IF(L82&gt;=0,"Under","Over")</f>
        <v/>
      </c>
      <c r="P82" s="76">
        <f>IF(M82&lt;-0.05,"Watch","On Track")</f>
        <v/>
      </c>
    </row>
    <row r="83" ht="16" customHeight="1">
      <c r="A83" s="106" t="inlineStr">
        <is>
          <t>CC-00082</t>
        </is>
      </c>
      <c r="B83" s="71" t="inlineStr">
        <is>
          <t>EVT-2025-008</t>
        </is>
      </c>
      <c r="C83" s="70" t="inlineStr">
        <is>
          <t>Axotrin Launch Event Amsterdam Dec 2025</t>
        </is>
      </c>
      <c r="D83" s="70" t="inlineStr">
        <is>
          <t>Neurology</t>
        </is>
      </c>
      <c r="E83" s="70" t="inlineStr">
        <is>
          <t>BU Neuroscience</t>
        </is>
      </c>
      <c r="F83" s="71" t="inlineStr">
        <is>
          <t>Logistics</t>
        </is>
      </c>
      <c r="G83" s="71" t="inlineStr">
        <is>
          <t>Dec-2025</t>
        </is>
      </c>
      <c r="H83" s="71" t="inlineStr">
        <is>
          <t>Q4 2025</t>
        </is>
      </c>
      <c r="I83" s="73" t="n">
        <v>20385.9</v>
      </c>
      <c r="J83" s="73" t="n">
        <v>20523.28</v>
      </c>
      <c r="K83" s="73" t="n">
        <v>20115.39</v>
      </c>
      <c r="L83" s="158">
        <f>I83-J83</f>
        <v/>
      </c>
      <c r="M83" s="161">
        <f>IF(I83=0,0,ROUND((I83-J83)/I83,4))</f>
        <v/>
      </c>
      <c r="N83" s="107">
        <f>IF(I83=0,0,J83/I83)</f>
        <v/>
      </c>
      <c r="O83" s="112">
        <f>IF(L83&gt;=0,"Under","Over")</f>
        <v/>
      </c>
      <c r="P83" s="69">
        <f>IF(M83&lt;-0.05,"Watch","On Track")</f>
        <v/>
      </c>
    </row>
    <row r="84" ht="16" customHeight="1">
      <c r="A84" s="98" t="inlineStr">
        <is>
          <t>CC-00083</t>
        </is>
      </c>
      <c r="B84" s="99" t="inlineStr">
        <is>
          <t>EVT-2025-008</t>
        </is>
      </c>
      <c r="C84" s="100" t="inlineStr">
        <is>
          <t>Axotrin Launch Event Amsterdam Dec 2025</t>
        </is>
      </c>
      <c r="D84" s="100" t="inlineStr">
        <is>
          <t>Neurology</t>
        </is>
      </c>
      <c r="E84" s="100" t="inlineStr">
        <is>
          <t>BU Neuroscience</t>
        </is>
      </c>
      <c r="F84" s="99" t="inlineStr">
        <is>
          <t>AV &amp; Technology</t>
        </is>
      </c>
      <c r="G84" s="99" t="inlineStr">
        <is>
          <t>Dec-2025</t>
        </is>
      </c>
      <c r="H84" s="99" t="inlineStr">
        <is>
          <t>Q4 2025</t>
        </is>
      </c>
      <c r="I84" s="101" t="n">
        <v>27181.2</v>
      </c>
      <c r="J84" s="101" t="n">
        <v>26109.29</v>
      </c>
      <c r="K84" s="101" t="n">
        <v>19763.43</v>
      </c>
      <c r="L84" s="165">
        <f>I84-J84</f>
        <v/>
      </c>
      <c r="M84" s="166">
        <f>IF(I84=0,0,ROUND((I84-J84)/I84,4))</f>
        <v/>
      </c>
      <c r="N84" s="104">
        <f>IF(I84=0,0,J84/I84)</f>
        <v/>
      </c>
      <c r="O84" s="105">
        <f>IF(L84&gt;=0,"Under","Over")</f>
        <v/>
      </c>
      <c r="P84" s="69">
        <f>IF(M84&lt;-0.05,"Watch","On Track")</f>
        <v/>
      </c>
    </row>
    <row r="85" ht="16" customHeight="1">
      <c r="A85" s="106" t="inlineStr">
        <is>
          <t>CC-00084</t>
        </is>
      </c>
      <c r="B85" s="71" t="inlineStr">
        <is>
          <t>EVT-2025-008</t>
        </is>
      </c>
      <c r="C85" s="70" t="inlineStr">
        <is>
          <t>Axotrin Launch Event Amsterdam Dec 2025</t>
        </is>
      </c>
      <c r="D85" s="70" t="inlineStr">
        <is>
          <t>Neurology</t>
        </is>
      </c>
      <c r="E85" s="70" t="inlineStr">
        <is>
          <t>BU Neuroscience</t>
        </is>
      </c>
      <c r="F85" s="71" t="inlineStr">
        <is>
          <t>Agency Fees</t>
        </is>
      </c>
      <c r="G85" s="71" t="inlineStr">
        <is>
          <t>Dec-2025</t>
        </is>
      </c>
      <c r="H85" s="71" t="inlineStr">
        <is>
          <t>Q4 2025</t>
        </is>
      </c>
      <c r="I85" s="73" t="n">
        <v>47567.1</v>
      </c>
      <c r="J85" s="73" t="n">
        <v>32329.99</v>
      </c>
      <c r="K85" s="73" t="n">
        <v>32290.9</v>
      </c>
      <c r="L85" s="163">
        <f>I85-J85</f>
        <v/>
      </c>
      <c r="M85" s="161">
        <f>IF(I85=0,0,ROUND((I85-J85)/I85,4))</f>
        <v/>
      </c>
      <c r="N85" s="107">
        <f>IF(I85=0,0,J85/I85)</f>
        <v/>
      </c>
      <c r="O85" s="108">
        <f>IF(L85&gt;=0,"Under","Over")</f>
        <v/>
      </c>
      <c r="P85" s="69">
        <f>IF(M85&lt;-0.05,"Watch","On Track")</f>
        <v/>
      </c>
    </row>
    <row r="86" ht="16" customHeight="1">
      <c r="A86" s="98" t="inlineStr">
        <is>
          <t>CC-00085</t>
        </is>
      </c>
      <c r="B86" s="99" t="inlineStr">
        <is>
          <t>EVT-2025-008</t>
        </is>
      </c>
      <c r="C86" s="100" t="inlineStr">
        <is>
          <t>Axotrin Launch Event Amsterdam Dec 2025</t>
        </is>
      </c>
      <c r="D86" s="100" t="inlineStr">
        <is>
          <t>Neurology</t>
        </is>
      </c>
      <c r="E86" s="100" t="inlineStr">
        <is>
          <t>BU Neuroscience</t>
        </is>
      </c>
      <c r="F86" s="99" t="inlineStr">
        <is>
          <t>Speaker Fees</t>
        </is>
      </c>
      <c r="G86" s="99" t="inlineStr">
        <is>
          <t>Dec-2025</t>
        </is>
      </c>
      <c r="H86" s="99" t="inlineStr">
        <is>
          <t>Q4 2025</t>
        </is>
      </c>
      <c r="I86" s="101" t="n">
        <v>33976.5</v>
      </c>
      <c r="J86" s="101" t="n">
        <v>28316.27</v>
      </c>
      <c r="K86" s="101" t="n">
        <v>27289.03</v>
      </c>
      <c r="L86" s="165">
        <f>I86-J86</f>
        <v/>
      </c>
      <c r="M86" s="166">
        <f>IF(I86=0,0,ROUND((I86-J86)/I86,4))</f>
        <v/>
      </c>
      <c r="N86" s="104">
        <f>IF(I86=0,0,J86/I86)</f>
        <v/>
      </c>
      <c r="O86" s="105">
        <f>IF(L86&gt;=0,"Under","Over")</f>
        <v/>
      </c>
      <c r="P86" s="69">
        <f>IF(M86&lt;-0.05,"Watch","On Track")</f>
        <v/>
      </c>
    </row>
    <row r="87" ht="16" customHeight="1">
      <c r="A87" s="106" t="inlineStr">
        <is>
          <t>CC-00086</t>
        </is>
      </c>
      <c r="B87" s="71" t="inlineStr">
        <is>
          <t>EVT-2025-008</t>
        </is>
      </c>
      <c r="C87" s="70" t="inlineStr">
        <is>
          <t>Axotrin Launch Event Amsterdam Dec 2025</t>
        </is>
      </c>
      <c r="D87" s="70" t="inlineStr">
        <is>
          <t>Neurology</t>
        </is>
      </c>
      <c r="E87" s="70" t="inlineStr">
        <is>
          <t>BU Neuroscience</t>
        </is>
      </c>
      <c r="F87" s="71" t="inlineStr">
        <is>
          <t>Translation</t>
        </is>
      </c>
      <c r="G87" s="71" t="inlineStr">
        <is>
          <t>Dec-2025</t>
        </is>
      </c>
      <c r="H87" s="71" t="inlineStr">
        <is>
          <t>Q4 2025</t>
        </is>
      </c>
      <c r="I87" s="73" t="n">
        <v>10192.95</v>
      </c>
      <c r="J87" s="73" t="n">
        <v>8650.610000000001</v>
      </c>
      <c r="K87" s="73" t="n">
        <v>6289.12</v>
      </c>
      <c r="L87" s="163">
        <f>I87-J87</f>
        <v/>
      </c>
      <c r="M87" s="161">
        <f>IF(I87=0,0,ROUND((I87-J87)/I87,4))</f>
        <v/>
      </c>
      <c r="N87" s="107">
        <f>IF(I87=0,0,J87/I87)</f>
        <v/>
      </c>
      <c r="O87" s="108">
        <f>IF(L87&gt;=0,"Under","Over")</f>
        <v/>
      </c>
      <c r="P87" s="69">
        <f>IF(M87&lt;-0.05,"Watch","On Track")</f>
        <v/>
      </c>
    </row>
    <row r="88" ht="16" customHeight="1">
      <c r="A88" s="98" t="inlineStr">
        <is>
          <t>CC-00087</t>
        </is>
      </c>
      <c r="B88" s="99" t="inlineStr">
        <is>
          <t>EVT-2025-008</t>
        </is>
      </c>
      <c r="C88" s="100" t="inlineStr">
        <is>
          <t>Axotrin Launch Event Amsterdam Dec 2025</t>
        </is>
      </c>
      <c r="D88" s="100" t="inlineStr">
        <is>
          <t>Neurology</t>
        </is>
      </c>
      <c r="E88" s="100" t="inlineStr">
        <is>
          <t>BU Neuroscience</t>
        </is>
      </c>
      <c r="F88" s="99" t="inlineStr">
        <is>
          <t>Print &amp; Production</t>
        </is>
      </c>
      <c r="G88" s="99" t="inlineStr">
        <is>
          <t>Dec-2025</t>
        </is>
      </c>
      <c r="H88" s="99" t="inlineStr">
        <is>
          <t>Q4 2025</t>
        </is>
      </c>
      <c r="I88" s="101" t="n">
        <v>6795.3</v>
      </c>
      <c r="J88" s="101" t="n">
        <v>5413.28</v>
      </c>
      <c r="K88" s="101" t="n">
        <v>4531.83</v>
      </c>
      <c r="L88" s="165">
        <f>I88-J88</f>
        <v/>
      </c>
      <c r="M88" s="166">
        <f>IF(I88=0,0,ROUND((I88-J88)/I88,4))</f>
        <v/>
      </c>
      <c r="N88" s="104">
        <f>IF(I88=0,0,J88/I88)</f>
        <v/>
      </c>
      <c r="O88" s="105">
        <f>IF(L88&gt;=0,"Under","Over")</f>
        <v/>
      </c>
      <c r="P88" s="69">
        <f>IF(M88&lt;-0.05,"Watch","On Track")</f>
        <v/>
      </c>
    </row>
    <row r="89" ht="16" customHeight="1">
      <c r="A89" s="106" t="inlineStr">
        <is>
          <t>CC-00088</t>
        </is>
      </c>
      <c r="B89" s="71" t="inlineStr">
        <is>
          <t>EVT-2025-008</t>
        </is>
      </c>
      <c r="C89" s="70" t="inlineStr">
        <is>
          <t>Axotrin Launch Event Amsterdam Dec 2025</t>
        </is>
      </c>
      <c r="D89" s="70" t="inlineStr">
        <is>
          <t>Neurology</t>
        </is>
      </c>
      <c r="E89" s="70" t="inlineStr">
        <is>
          <t>BU Neuroscience</t>
        </is>
      </c>
      <c r="F89" s="71" t="inlineStr">
        <is>
          <t>Miscellaneous</t>
        </is>
      </c>
      <c r="G89" s="71" t="inlineStr">
        <is>
          <t>Dec-2025</t>
        </is>
      </c>
      <c r="H89" s="71" t="inlineStr">
        <is>
          <t>Q4 2025</t>
        </is>
      </c>
      <c r="I89" s="73" t="n">
        <v>6795.3</v>
      </c>
      <c r="J89" s="73" t="n">
        <v>4895.09</v>
      </c>
      <c r="K89" s="73" t="n">
        <v>4283.22</v>
      </c>
      <c r="L89" s="163">
        <f>I89-J89</f>
        <v/>
      </c>
      <c r="M89" s="161">
        <f>IF(I89=0,0,ROUND((I89-J89)/I89,4))</f>
        <v/>
      </c>
      <c r="N89" s="107">
        <f>IF(I89=0,0,J89/I89)</f>
        <v/>
      </c>
      <c r="O89" s="108">
        <f>IF(L89&gt;=0,"Under","Over")</f>
        <v/>
      </c>
      <c r="P89" s="69">
        <f>IF(M89&lt;-0.05,"Watch","On Track")</f>
        <v/>
      </c>
    </row>
    <row r="90" ht="16" customHeight="1">
      <c r="A90" s="98" t="inlineStr">
        <is>
          <t>CC-00089</t>
        </is>
      </c>
      <c r="B90" s="99" t="inlineStr">
        <is>
          <t>EVT-2025-009</t>
        </is>
      </c>
      <c r="C90" s="100" t="inlineStr">
        <is>
          <t>Cognivex KOL Meeting Milan Aug 2025</t>
        </is>
      </c>
      <c r="D90" s="100" t="inlineStr">
        <is>
          <t>Neurology</t>
        </is>
      </c>
      <c r="E90" s="100" t="inlineStr">
        <is>
          <t>BU Neuroscience</t>
        </is>
      </c>
      <c r="F90" s="99" t="inlineStr">
        <is>
          <t>Airfare</t>
        </is>
      </c>
      <c r="G90" s="99" t="inlineStr">
        <is>
          <t>Aug-2025</t>
        </is>
      </c>
      <c r="H90" s="99" t="inlineStr">
        <is>
          <t>Q3 2025</t>
        </is>
      </c>
      <c r="I90" s="101" t="n">
        <v>35028.87</v>
      </c>
      <c r="J90" s="101" t="n">
        <v>21869.54</v>
      </c>
      <c r="K90" s="101" t="n">
        <v>0</v>
      </c>
      <c r="L90" s="165">
        <f>I90-J90</f>
        <v/>
      </c>
      <c r="M90" s="166">
        <f>IF(I90=0,0,ROUND((I90-J90)/I90,4))</f>
        <v/>
      </c>
      <c r="N90" s="104">
        <f>IF(I90=0,0,J90/I90)</f>
        <v/>
      </c>
      <c r="O90" s="105">
        <f>IF(L90&gt;=0,"Under","Over")</f>
        <v/>
      </c>
      <c r="P90" s="69">
        <f>IF(M90&lt;-0.05,"Watch","On Track")</f>
        <v/>
      </c>
    </row>
    <row r="91" ht="16" customHeight="1">
      <c r="A91" s="106" t="inlineStr">
        <is>
          <t>CC-00090</t>
        </is>
      </c>
      <c r="B91" s="71" t="inlineStr">
        <is>
          <t>EVT-2025-009</t>
        </is>
      </c>
      <c r="C91" s="70" t="inlineStr">
        <is>
          <t>Cognivex KOL Meeting Milan Aug 2025</t>
        </is>
      </c>
      <c r="D91" s="70" t="inlineStr">
        <is>
          <t>Neurology</t>
        </is>
      </c>
      <c r="E91" s="70" t="inlineStr">
        <is>
          <t>BU Neuroscience</t>
        </is>
      </c>
      <c r="F91" s="71" t="inlineStr">
        <is>
          <t>Hotel</t>
        </is>
      </c>
      <c r="G91" s="71" t="inlineStr">
        <is>
          <t>Aug-2025</t>
        </is>
      </c>
      <c r="H91" s="71" t="inlineStr">
        <is>
          <t>Q3 2025</t>
        </is>
      </c>
      <c r="I91" s="73" t="n">
        <v>63051.96</v>
      </c>
      <c r="J91" s="73" t="n">
        <v>46701.21</v>
      </c>
      <c r="K91" s="73" t="n">
        <v>0</v>
      </c>
      <c r="L91" s="163">
        <f>I91-J91</f>
        <v/>
      </c>
      <c r="M91" s="161">
        <f>IF(I91=0,0,ROUND((I91-J91)/I91,4))</f>
        <v/>
      </c>
      <c r="N91" s="107">
        <f>IF(I91=0,0,J91/I91)</f>
        <v/>
      </c>
      <c r="O91" s="108">
        <f>IF(L91&gt;=0,"Under","Over")</f>
        <v/>
      </c>
      <c r="P91" s="69">
        <f>IF(M91&lt;-0.05,"Watch","On Track")</f>
        <v/>
      </c>
    </row>
    <row r="92" ht="16" customHeight="1">
      <c r="A92" s="98" t="inlineStr">
        <is>
          <t>CC-00091</t>
        </is>
      </c>
      <c r="B92" s="99" t="inlineStr">
        <is>
          <t>EVT-2025-009</t>
        </is>
      </c>
      <c r="C92" s="100" t="inlineStr">
        <is>
          <t>Cognivex KOL Meeting Milan Aug 2025</t>
        </is>
      </c>
      <c r="D92" s="100" t="inlineStr">
        <is>
          <t>Neurology</t>
        </is>
      </c>
      <c r="E92" s="100" t="inlineStr">
        <is>
          <t>BU Neuroscience</t>
        </is>
      </c>
      <c r="F92" s="99" t="inlineStr">
        <is>
          <t>Venue</t>
        </is>
      </c>
      <c r="G92" s="99" t="inlineStr">
        <is>
          <t>Aug-2025</t>
        </is>
      </c>
      <c r="H92" s="99" t="inlineStr">
        <is>
          <t>Q3 2025</t>
        </is>
      </c>
      <c r="I92" s="101" t="n">
        <v>52543.3</v>
      </c>
      <c r="J92" s="101" t="n">
        <v>47223.78</v>
      </c>
      <c r="K92" s="101" t="n">
        <v>0</v>
      </c>
      <c r="L92" s="165">
        <f>I92-J92</f>
        <v/>
      </c>
      <c r="M92" s="166">
        <f>IF(I92=0,0,ROUND((I92-J92)/I92,4))</f>
        <v/>
      </c>
      <c r="N92" s="104">
        <f>IF(I92=0,0,J92/I92)</f>
        <v/>
      </c>
      <c r="O92" s="105">
        <f>IF(L92&gt;=0,"Under","Over")</f>
        <v/>
      </c>
      <c r="P92" s="69">
        <f>IF(M92&lt;-0.05,"Watch","On Track")</f>
        <v/>
      </c>
    </row>
    <row r="93" ht="16" customHeight="1">
      <c r="A93" s="106" t="inlineStr">
        <is>
          <t>CC-00092</t>
        </is>
      </c>
      <c r="B93" s="71" t="inlineStr">
        <is>
          <t>EVT-2025-009</t>
        </is>
      </c>
      <c r="C93" s="70" t="inlineStr">
        <is>
          <t>Cognivex KOL Meeting Milan Aug 2025</t>
        </is>
      </c>
      <c r="D93" s="70" t="inlineStr">
        <is>
          <t>Neurology</t>
        </is>
      </c>
      <c r="E93" s="70" t="inlineStr">
        <is>
          <t>BU Neuroscience</t>
        </is>
      </c>
      <c r="F93" s="71" t="inlineStr">
        <is>
          <t>F&amp;B</t>
        </is>
      </c>
      <c r="G93" s="71" t="inlineStr">
        <is>
          <t>Aug-2025</t>
        </is>
      </c>
      <c r="H93" s="71" t="inlineStr">
        <is>
          <t>Q3 2025</t>
        </is>
      </c>
      <c r="I93" s="73" t="n">
        <v>42034.64</v>
      </c>
      <c r="J93" s="73" t="n">
        <v>42935.22</v>
      </c>
      <c r="K93" s="73" t="n">
        <v>0</v>
      </c>
      <c r="L93" s="158">
        <f>I93-J93</f>
        <v/>
      </c>
      <c r="M93" s="161">
        <f>IF(I93=0,0,ROUND((I93-J93)/I93,4))</f>
        <v/>
      </c>
      <c r="N93" s="107">
        <f>IF(I93=0,0,J93/I93)</f>
        <v/>
      </c>
      <c r="O93" s="112">
        <f>IF(L93&gt;=0,"Under","Over")</f>
        <v/>
      </c>
      <c r="P93" s="69">
        <f>IF(M93&lt;-0.05,"Watch","On Track")</f>
        <v/>
      </c>
    </row>
    <row r="94" ht="16" customHeight="1">
      <c r="A94" s="98" t="inlineStr">
        <is>
          <t>CC-00093</t>
        </is>
      </c>
      <c r="B94" s="99" t="inlineStr">
        <is>
          <t>EVT-2025-009</t>
        </is>
      </c>
      <c r="C94" s="100" t="inlineStr">
        <is>
          <t>Cognivex KOL Meeting Milan Aug 2025</t>
        </is>
      </c>
      <c r="D94" s="100" t="inlineStr">
        <is>
          <t>Neurology</t>
        </is>
      </c>
      <c r="E94" s="100" t="inlineStr">
        <is>
          <t>BU Neuroscience</t>
        </is>
      </c>
      <c r="F94" s="99" t="inlineStr">
        <is>
          <t>Logistics</t>
        </is>
      </c>
      <c r="G94" s="99" t="inlineStr">
        <is>
          <t>Aug-2025</t>
        </is>
      </c>
      <c r="H94" s="99" t="inlineStr">
        <is>
          <t>Q3 2025</t>
        </is>
      </c>
      <c r="I94" s="101" t="n">
        <v>21017.32</v>
      </c>
      <c r="J94" s="101" t="n">
        <v>19677.68</v>
      </c>
      <c r="K94" s="101" t="n">
        <v>0</v>
      </c>
      <c r="L94" s="165">
        <f>I94-J94</f>
        <v/>
      </c>
      <c r="M94" s="166">
        <f>IF(I94=0,0,ROUND((I94-J94)/I94,4))</f>
        <v/>
      </c>
      <c r="N94" s="104">
        <f>IF(I94=0,0,J94/I94)</f>
        <v/>
      </c>
      <c r="O94" s="105">
        <f>IF(L94&gt;=0,"Under","Over")</f>
        <v/>
      </c>
      <c r="P94" s="69">
        <f>IF(M94&lt;-0.05,"Watch","On Track")</f>
        <v/>
      </c>
    </row>
    <row r="95" ht="16" customHeight="1">
      <c r="A95" s="106" t="inlineStr">
        <is>
          <t>CC-00094</t>
        </is>
      </c>
      <c r="B95" s="71" t="inlineStr">
        <is>
          <t>EVT-2025-009</t>
        </is>
      </c>
      <c r="C95" s="70" t="inlineStr">
        <is>
          <t>Cognivex KOL Meeting Milan Aug 2025</t>
        </is>
      </c>
      <c r="D95" s="70" t="inlineStr">
        <is>
          <t>Neurology</t>
        </is>
      </c>
      <c r="E95" s="70" t="inlineStr">
        <is>
          <t>BU Neuroscience</t>
        </is>
      </c>
      <c r="F95" s="71" t="inlineStr">
        <is>
          <t>AV &amp; Technology</t>
        </is>
      </c>
      <c r="G95" s="71" t="inlineStr">
        <is>
          <t>Aug-2025</t>
        </is>
      </c>
      <c r="H95" s="71" t="inlineStr">
        <is>
          <t>Q3 2025</t>
        </is>
      </c>
      <c r="I95" s="73" t="n">
        <v>28023.09</v>
      </c>
      <c r="J95" s="73" t="n">
        <v>20817.63</v>
      </c>
      <c r="K95" s="73" t="n">
        <v>0</v>
      </c>
      <c r="L95" s="163">
        <f>I95-J95</f>
        <v/>
      </c>
      <c r="M95" s="161">
        <f>IF(I95=0,0,ROUND((I95-J95)/I95,4))</f>
        <v/>
      </c>
      <c r="N95" s="107">
        <f>IF(I95=0,0,J95/I95)</f>
        <v/>
      </c>
      <c r="O95" s="108">
        <f>IF(L95&gt;=0,"Under","Over")</f>
        <v/>
      </c>
      <c r="P95" s="69">
        <f>IF(M95&lt;-0.05,"Watch","On Track")</f>
        <v/>
      </c>
    </row>
    <row r="96" ht="16" customHeight="1">
      <c r="A96" s="98" t="inlineStr">
        <is>
          <t>CC-00095</t>
        </is>
      </c>
      <c r="B96" s="99" t="inlineStr">
        <is>
          <t>EVT-2025-009</t>
        </is>
      </c>
      <c r="C96" s="100" t="inlineStr">
        <is>
          <t>Cognivex KOL Meeting Milan Aug 2025</t>
        </is>
      </c>
      <c r="D96" s="100" t="inlineStr">
        <is>
          <t>Neurology</t>
        </is>
      </c>
      <c r="E96" s="100" t="inlineStr">
        <is>
          <t>BU Neuroscience</t>
        </is>
      </c>
      <c r="F96" s="99" t="inlineStr">
        <is>
          <t>Agency Fees</t>
        </is>
      </c>
      <c r="G96" s="99" t="inlineStr">
        <is>
          <t>Aug-2025</t>
        </is>
      </c>
      <c r="H96" s="99" t="inlineStr">
        <is>
          <t>Q3 2025</t>
        </is>
      </c>
      <c r="I96" s="101" t="n">
        <v>49040.41</v>
      </c>
      <c r="J96" s="101" t="n">
        <v>29624.76</v>
      </c>
      <c r="K96" s="101" t="n">
        <v>0</v>
      </c>
      <c r="L96" s="165">
        <f>I96-J96</f>
        <v/>
      </c>
      <c r="M96" s="166">
        <f>IF(I96=0,0,ROUND((I96-J96)/I96,4))</f>
        <v/>
      </c>
      <c r="N96" s="104">
        <f>IF(I96=0,0,J96/I96)</f>
        <v/>
      </c>
      <c r="O96" s="105">
        <f>IF(L96&gt;=0,"Under","Over")</f>
        <v/>
      </c>
      <c r="P96" s="69">
        <f>IF(M96&lt;-0.05,"Watch","On Track")</f>
        <v/>
      </c>
    </row>
    <row r="97" ht="16" customHeight="1">
      <c r="A97" s="106" t="inlineStr">
        <is>
          <t>CC-00096</t>
        </is>
      </c>
      <c r="B97" s="71" t="inlineStr">
        <is>
          <t>EVT-2025-009</t>
        </is>
      </c>
      <c r="C97" s="70" t="inlineStr">
        <is>
          <t>Cognivex KOL Meeting Milan Aug 2025</t>
        </is>
      </c>
      <c r="D97" s="70" t="inlineStr">
        <is>
          <t>Neurology</t>
        </is>
      </c>
      <c r="E97" s="70" t="inlineStr">
        <is>
          <t>BU Neuroscience</t>
        </is>
      </c>
      <c r="F97" s="71" t="inlineStr">
        <is>
          <t>Speaker Fees</t>
        </is>
      </c>
      <c r="G97" s="71" t="inlineStr">
        <is>
          <t>Aug-2025</t>
        </is>
      </c>
      <c r="H97" s="71" t="inlineStr">
        <is>
          <t>Q3 2025</t>
        </is>
      </c>
      <c r="I97" s="73" t="n">
        <v>35028.87</v>
      </c>
      <c r="J97" s="73" t="n">
        <v>22900.07</v>
      </c>
      <c r="K97" s="73" t="n">
        <v>0</v>
      </c>
      <c r="L97" s="163">
        <f>I97-J97</f>
        <v/>
      </c>
      <c r="M97" s="161">
        <f>IF(I97=0,0,ROUND((I97-J97)/I97,4))</f>
        <v/>
      </c>
      <c r="N97" s="107">
        <f>IF(I97=0,0,J97/I97)</f>
        <v/>
      </c>
      <c r="O97" s="108">
        <f>IF(L97&gt;=0,"Under","Over")</f>
        <v/>
      </c>
      <c r="P97" s="69">
        <f>IF(M97&lt;-0.05,"Watch","On Track")</f>
        <v/>
      </c>
    </row>
    <row r="98" ht="16" customHeight="1">
      <c r="A98" s="98" t="inlineStr">
        <is>
          <t>CC-00097</t>
        </is>
      </c>
      <c r="B98" s="99" t="inlineStr">
        <is>
          <t>EVT-2025-009</t>
        </is>
      </c>
      <c r="C98" s="100" t="inlineStr">
        <is>
          <t>Cognivex KOL Meeting Milan Aug 2025</t>
        </is>
      </c>
      <c r="D98" s="100" t="inlineStr">
        <is>
          <t>Neurology</t>
        </is>
      </c>
      <c r="E98" s="100" t="inlineStr">
        <is>
          <t>BU Neuroscience</t>
        </is>
      </c>
      <c r="F98" s="99" t="inlineStr">
        <is>
          <t>Translation</t>
        </is>
      </c>
      <c r="G98" s="99" t="inlineStr">
        <is>
          <t>Aug-2025</t>
        </is>
      </c>
      <c r="H98" s="99" t="inlineStr">
        <is>
          <t>Q3 2025</t>
        </is>
      </c>
      <c r="I98" s="101" t="n">
        <v>10508.66</v>
      </c>
      <c r="J98" s="101" t="n">
        <v>7008.93</v>
      </c>
      <c r="K98" s="101" t="n">
        <v>0</v>
      </c>
      <c r="L98" s="165">
        <f>I98-J98</f>
        <v/>
      </c>
      <c r="M98" s="166">
        <f>IF(I98=0,0,ROUND((I98-J98)/I98,4))</f>
        <v/>
      </c>
      <c r="N98" s="104">
        <f>IF(I98=0,0,J98/I98)</f>
        <v/>
      </c>
      <c r="O98" s="105">
        <f>IF(L98&gt;=0,"Under","Over")</f>
        <v/>
      </c>
      <c r="P98" s="69">
        <f>IF(M98&lt;-0.05,"Watch","On Track")</f>
        <v/>
      </c>
    </row>
    <row r="99" ht="16" customHeight="1">
      <c r="A99" s="106" t="inlineStr">
        <is>
          <t>CC-00098</t>
        </is>
      </c>
      <c r="B99" s="71" t="inlineStr">
        <is>
          <t>EVT-2025-009</t>
        </is>
      </c>
      <c r="C99" s="70" t="inlineStr">
        <is>
          <t>Cognivex KOL Meeting Milan Aug 2025</t>
        </is>
      </c>
      <c r="D99" s="70" t="inlineStr">
        <is>
          <t>Neurology</t>
        </is>
      </c>
      <c r="E99" s="70" t="inlineStr">
        <is>
          <t>BU Neuroscience</t>
        </is>
      </c>
      <c r="F99" s="71" t="inlineStr">
        <is>
          <t>Print &amp; Production</t>
        </is>
      </c>
      <c r="G99" s="71" t="inlineStr">
        <is>
          <t>Aug-2025</t>
        </is>
      </c>
      <c r="H99" s="71" t="inlineStr">
        <is>
          <t>Q3 2025</t>
        </is>
      </c>
      <c r="I99" s="73" t="n">
        <v>7005.77</v>
      </c>
      <c r="J99" s="73" t="n">
        <v>5129.88</v>
      </c>
      <c r="K99" s="73" t="n">
        <v>0</v>
      </c>
      <c r="L99" s="163">
        <f>I99-J99</f>
        <v/>
      </c>
      <c r="M99" s="161">
        <f>IF(I99=0,0,ROUND((I99-J99)/I99,4))</f>
        <v/>
      </c>
      <c r="N99" s="107">
        <f>IF(I99=0,0,J99/I99)</f>
        <v/>
      </c>
      <c r="O99" s="108">
        <f>IF(L99&gt;=0,"Under","Over")</f>
        <v/>
      </c>
      <c r="P99" s="69">
        <f>IF(M99&lt;-0.05,"Watch","On Track")</f>
        <v/>
      </c>
    </row>
    <row r="100" ht="16" customHeight="1">
      <c r="A100" s="98" t="inlineStr">
        <is>
          <t>CC-00099</t>
        </is>
      </c>
      <c r="B100" s="99" t="inlineStr">
        <is>
          <t>EVT-2025-009</t>
        </is>
      </c>
      <c r="C100" s="100" t="inlineStr">
        <is>
          <t>Cognivex KOL Meeting Milan Aug 2025</t>
        </is>
      </c>
      <c r="D100" s="100" t="inlineStr">
        <is>
          <t>Neurology</t>
        </is>
      </c>
      <c r="E100" s="100" t="inlineStr">
        <is>
          <t>BU Neuroscience</t>
        </is>
      </c>
      <c r="F100" s="99" t="inlineStr">
        <is>
          <t>Miscellaneous</t>
        </is>
      </c>
      <c r="G100" s="99" t="inlineStr">
        <is>
          <t>Aug-2025</t>
        </is>
      </c>
      <c r="H100" s="99" t="inlineStr">
        <is>
          <t>Q3 2025</t>
        </is>
      </c>
      <c r="I100" s="101" t="n">
        <v>7005.77</v>
      </c>
      <c r="J100" s="101" t="n">
        <v>5484.74</v>
      </c>
      <c r="K100" s="101" t="n">
        <v>0</v>
      </c>
      <c r="L100" s="165">
        <f>I100-J100</f>
        <v/>
      </c>
      <c r="M100" s="166">
        <f>IF(I100=0,0,ROUND((I100-J100)/I100,4))</f>
        <v/>
      </c>
      <c r="N100" s="104">
        <f>IF(I100=0,0,J100/I100)</f>
        <v/>
      </c>
      <c r="O100" s="105">
        <f>IF(L100&gt;=0,"Under","Over")</f>
        <v/>
      </c>
      <c r="P100" s="69">
        <f>IF(M100&lt;-0.05,"Watch","On Track")</f>
        <v/>
      </c>
    </row>
    <row r="101" ht="16" customHeight="1">
      <c r="A101" s="106" t="inlineStr">
        <is>
          <t>CC-00100</t>
        </is>
      </c>
      <c r="B101" s="71" t="inlineStr">
        <is>
          <t>EVT-2025-010</t>
        </is>
      </c>
      <c r="C101" s="70" t="inlineStr">
        <is>
          <t>Influximab Launch Event Barcelona Apr 2025</t>
        </is>
      </c>
      <c r="D101" s="70" t="inlineStr">
        <is>
          <t>Immunology</t>
        </is>
      </c>
      <c r="E101" s="70" t="inlineStr">
        <is>
          <t>BU Immunology</t>
        </is>
      </c>
      <c r="F101" s="71" t="inlineStr">
        <is>
          <t>Airfare</t>
        </is>
      </c>
      <c r="G101" s="71" t="inlineStr">
        <is>
          <t>Apr-2025</t>
        </is>
      </c>
      <c r="H101" s="71" t="inlineStr">
        <is>
          <t>Q2 2025</t>
        </is>
      </c>
      <c r="I101" s="73" t="n">
        <v>13169.85</v>
      </c>
      <c r="J101" s="73" t="n">
        <v>10557.31</v>
      </c>
      <c r="K101" s="73" t="n">
        <v>0</v>
      </c>
      <c r="L101" s="163">
        <f>I101-J101</f>
        <v/>
      </c>
      <c r="M101" s="161">
        <f>IF(I101=0,0,ROUND((I101-J101)/I101,4))</f>
        <v/>
      </c>
      <c r="N101" s="107">
        <f>IF(I101=0,0,J101/I101)</f>
        <v/>
      </c>
      <c r="O101" s="108">
        <f>IF(L101&gt;=0,"Under","Over")</f>
        <v/>
      </c>
      <c r="P101" s="69">
        <f>IF(M101&lt;-0.05,"Watch","On Track")</f>
        <v/>
      </c>
    </row>
    <row r="102" ht="16" customHeight="1">
      <c r="A102" s="98" t="inlineStr">
        <is>
          <t>CC-00101</t>
        </is>
      </c>
      <c r="B102" s="99" t="inlineStr">
        <is>
          <t>EVT-2025-010</t>
        </is>
      </c>
      <c r="C102" s="100" t="inlineStr">
        <is>
          <t>Influximab Launch Event Barcelona Apr 2025</t>
        </is>
      </c>
      <c r="D102" s="100" t="inlineStr">
        <is>
          <t>Immunology</t>
        </is>
      </c>
      <c r="E102" s="100" t="inlineStr">
        <is>
          <t>BU Immunology</t>
        </is>
      </c>
      <c r="F102" s="99" t="inlineStr">
        <is>
          <t>Hotel</t>
        </is>
      </c>
      <c r="G102" s="99" t="inlineStr">
        <is>
          <t>Apr-2025</t>
        </is>
      </c>
      <c r="H102" s="99" t="inlineStr">
        <is>
          <t>Q2 2025</t>
        </is>
      </c>
      <c r="I102" s="101" t="n">
        <v>23705.73</v>
      </c>
      <c r="J102" s="101" t="n">
        <v>14759.69</v>
      </c>
      <c r="K102" s="101" t="n">
        <v>0</v>
      </c>
      <c r="L102" s="165">
        <f>I102-J102</f>
        <v/>
      </c>
      <c r="M102" s="166">
        <f>IF(I102=0,0,ROUND((I102-J102)/I102,4))</f>
        <v/>
      </c>
      <c r="N102" s="104">
        <f>IF(I102=0,0,J102/I102)</f>
        <v/>
      </c>
      <c r="O102" s="105">
        <f>IF(L102&gt;=0,"Under","Over")</f>
        <v/>
      </c>
      <c r="P102" s="69">
        <f>IF(M102&lt;-0.05,"Watch","On Track")</f>
        <v/>
      </c>
    </row>
    <row r="103" ht="16" customHeight="1">
      <c r="A103" s="106" t="inlineStr">
        <is>
          <t>CC-00102</t>
        </is>
      </c>
      <c r="B103" s="71" t="inlineStr">
        <is>
          <t>EVT-2025-010</t>
        </is>
      </c>
      <c r="C103" s="70" t="inlineStr">
        <is>
          <t>Influximab Launch Event Barcelona Apr 2025</t>
        </is>
      </c>
      <c r="D103" s="70" t="inlineStr">
        <is>
          <t>Immunology</t>
        </is>
      </c>
      <c r="E103" s="70" t="inlineStr">
        <is>
          <t>BU Immunology</t>
        </is>
      </c>
      <c r="F103" s="71" t="inlineStr">
        <is>
          <t>Venue</t>
        </is>
      </c>
      <c r="G103" s="71" t="inlineStr">
        <is>
          <t>Apr-2025</t>
        </is>
      </c>
      <c r="H103" s="71" t="inlineStr">
        <is>
          <t>Q2 2025</t>
        </is>
      </c>
      <c r="I103" s="73" t="n">
        <v>19754.77</v>
      </c>
      <c r="J103" s="73" t="n">
        <v>12358.17</v>
      </c>
      <c r="K103" s="73" t="n">
        <v>0</v>
      </c>
      <c r="L103" s="163">
        <f>I103-J103</f>
        <v/>
      </c>
      <c r="M103" s="161">
        <f>IF(I103=0,0,ROUND((I103-J103)/I103,4))</f>
        <v/>
      </c>
      <c r="N103" s="107">
        <f>IF(I103=0,0,J103/I103)</f>
        <v/>
      </c>
      <c r="O103" s="108">
        <f>IF(L103&gt;=0,"Under","Over")</f>
        <v/>
      </c>
      <c r="P103" s="69">
        <f>IF(M103&lt;-0.05,"Watch","On Track")</f>
        <v/>
      </c>
    </row>
    <row r="104" ht="16" customHeight="1">
      <c r="A104" s="98" t="inlineStr">
        <is>
          <t>CC-00103</t>
        </is>
      </c>
      <c r="B104" s="99" t="inlineStr">
        <is>
          <t>EVT-2025-010</t>
        </is>
      </c>
      <c r="C104" s="100" t="inlineStr">
        <is>
          <t>Influximab Launch Event Barcelona Apr 2025</t>
        </is>
      </c>
      <c r="D104" s="100" t="inlineStr">
        <is>
          <t>Immunology</t>
        </is>
      </c>
      <c r="E104" s="100" t="inlineStr">
        <is>
          <t>BU Immunology</t>
        </is>
      </c>
      <c r="F104" s="99" t="inlineStr">
        <is>
          <t>F&amp;B</t>
        </is>
      </c>
      <c r="G104" s="99" t="inlineStr">
        <is>
          <t>Apr-2025</t>
        </is>
      </c>
      <c r="H104" s="99" t="inlineStr">
        <is>
          <t>Q2 2025</t>
        </is>
      </c>
      <c r="I104" s="101" t="n">
        <v>15803.82</v>
      </c>
      <c r="J104" s="101" t="n">
        <v>13921.72</v>
      </c>
      <c r="K104" s="101" t="n">
        <v>0</v>
      </c>
      <c r="L104" s="165">
        <f>I104-J104</f>
        <v/>
      </c>
      <c r="M104" s="166">
        <f>IF(I104=0,0,ROUND((I104-J104)/I104,4))</f>
        <v/>
      </c>
      <c r="N104" s="104">
        <f>IF(I104=0,0,J104/I104)</f>
        <v/>
      </c>
      <c r="O104" s="105">
        <f>IF(L104&gt;=0,"Under","Over")</f>
        <v/>
      </c>
      <c r="P104" s="69">
        <f>IF(M104&lt;-0.05,"Watch","On Track")</f>
        <v/>
      </c>
    </row>
    <row r="105" ht="16" customHeight="1">
      <c r="A105" s="106" t="inlineStr">
        <is>
          <t>CC-00104</t>
        </is>
      </c>
      <c r="B105" s="71" t="inlineStr">
        <is>
          <t>EVT-2025-010</t>
        </is>
      </c>
      <c r="C105" s="70" t="inlineStr">
        <is>
          <t>Influximab Launch Event Barcelona Apr 2025</t>
        </is>
      </c>
      <c r="D105" s="70" t="inlineStr">
        <is>
          <t>Immunology</t>
        </is>
      </c>
      <c r="E105" s="70" t="inlineStr">
        <is>
          <t>BU Immunology</t>
        </is>
      </c>
      <c r="F105" s="71" t="inlineStr">
        <is>
          <t>Logistics</t>
        </is>
      </c>
      <c r="G105" s="71" t="inlineStr">
        <is>
          <t>Apr-2025</t>
        </is>
      </c>
      <c r="H105" s="71" t="inlineStr">
        <is>
          <t>Q2 2025</t>
        </is>
      </c>
      <c r="I105" s="73" t="n">
        <v>7901.91</v>
      </c>
      <c r="J105" s="73" t="n">
        <v>6173.46</v>
      </c>
      <c r="K105" s="73" t="n">
        <v>0</v>
      </c>
      <c r="L105" s="163">
        <f>I105-J105</f>
        <v/>
      </c>
      <c r="M105" s="161">
        <f>IF(I105=0,0,ROUND((I105-J105)/I105,4))</f>
        <v/>
      </c>
      <c r="N105" s="107">
        <f>IF(I105=0,0,J105/I105)</f>
        <v/>
      </c>
      <c r="O105" s="108">
        <f>IF(L105&gt;=0,"Under","Over")</f>
        <v/>
      </c>
      <c r="P105" s="69">
        <f>IF(M105&lt;-0.05,"Watch","On Track")</f>
        <v/>
      </c>
    </row>
    <row r="106" ht="16" customHeight="1">
      <c r="A106" s="98" t="inlineStr">
        <is>
          <t>CC-00105</t>
        </is>
      </c>
      <c r="B106" s="99" t="inlineStr">
        <is>
          <t>EVT-2025-010</t>
        </is>
      </c>
      <c r="C106" s="100" t="inlineStr">
        <is>
          <t>Influximab Launch Event Barcelona Apr 2025</t>
        </is>
      </c>
      <c r="D106" s="100" t="inlineStr">
        <is>
          <t>Immunology</t>
        </is>
      </c>
      <c r="E106" s="100" t="inlineStr">
        <is>
          <t>BU Immunology</t>
        </is>
      </c>
      <c r="F106" s="99" t="inlineStr">
        <is>
          <t>AV &amp; Technology</t>
        </is>
      </c>
      <c r="G106" s="99" t="inlineStr">
        <is>
          <t>Apr-2025</t>
        </is>
      </c>
      <c r="H106" s="99" t="inlineStr">
        <is>
          <t>Q2 2025</t>
        </is>
      </c>
      <c r="I106" s="101" t="n">
        <v>10535.88</v>
      </c>
      <c r="J106" s="101" t="n">
        <v>7841.86</v>
      </c>
      <c r="K106" s="101" t="n">
        <v>0</v>
      </c>
      <c r="L106" s="165">
        <f>I106-J106</f>
        <v/>
      </c>
      <c r="M106" s="166">
        <f>IF(I106=0,0,ROUND((I106-J106)/I106,4))</f>
        <v/>
      </c>
      <c r="N106" s="104">
        <f>IF(I106=0,0,J106/I106)</f>
        <v/>
      </c>
      <c r="O106" s="105">
        <f>IF(L106&gt;=0,"Under","Over")</f>
        <v/>
      </c>
      <c r="P106" s="69">
        <f>IF(M106&lt;-0.05,"Watch","On Track")</f>
        <v/>
      </c>
    </row>
    <row r="107" ht="16" customHeight="1">
      <c r="A107" s="106" t="inlineStr">
        <is>
          <t>CC-00106</t>
        </is>
      </c>
      <c r="B107" s="71" t="inlineStr">
        <is>
          <t>EVT-2025-010</t>
        </is>
      </c>
      <c r="C107" s="70" t="inlineStr">
        <is>
          <t>Influximab Launch Event Barcelona Apr 2025</t>
        </is>
      </c>
      <c r="D107" s="70" t="inlineStr">
        <is>
          <t>Immunology</t>
        </is>
      </c>
      <c r="E107" s="70" t="inlineStr">
        <is>
          <t>BU Immunology</t>
        </is>
      </c>
      <c r="F107" s="71" t="inlineStr">
        <is>
          <t>Agency Fees</t>
        </is>
      </c>
      <c r="G107" s="71" t="inlineStr">
        <is>
          <t>Apr-2025</t>
        </is>
      </c>
      <c r="H107" s="71" t="inlineStr">
        <is>
          <t>Q2 2025</t>
        </is>
      </c>
      <c r="I107" s="73" t="n">
        <v>18437.79</v>
      </c>
      <c r="J107" s="73" t="n">
        <v>14624.38</v>
      </c>
      <c r="K107" s="73" t="n">
        <v>0</v>
      </c>
      <c r="L107" s="163">
        <f>I107-J107</f>
        <v/>
      </c>
      <c r="M107" s="161">
        <f>IF(I107=0,0,ROUND((I107-J107)/I107,4))</f>
        <v/>
      </c>
      <c r="N107" s="107">
        <f>IF(I107=0,0,J107/I107)</f>
        <v/>
      </c>
      <c r="O107" s="108">
        <f>IF(L107&gt;=0,"Under","Over")</f>
        <v/>
      </c>
      <c r="P107" s="69">
        <f>IF(M107&lt;-0.05,"Watch","On Track")</f>
        <v/>
      </c>
    </row>
    <row r="108" ht="16" customHeight="1">
      <c r="A108" s="98" t="inlineStr">
        <is>
          <t>CC-00107</t>
        </is>
      </c>
      <c r="B108" s="99" t="inlineStr">
        <is>
          <t>EVT-2025-010</t>
        </is>
      </c>
      <c r="C108" s="100" t="inlineStr">
        <is>
          <t>Influximab Launch Event Barcelona Apr 2025</t>
        </is>
      </c>
      <c r="D108" s="100" t="inlineStr">
        <is>
          <t>Immunology</t>
        </is>
      </c>
      <c r="E108" s="100" t="inlineStr">
        <is>
          <t>BU Immunology</t>
        </is>
      </c>
      <c r="F108" s="99" t="inlineStr">
        <is>
          <t>Speaker Fees</t>
        </is>
      </c>
      <c r="G108" s="99" t="inlineStr">
        <is>
          <t>Apr-2025</t>
        </is>
      </c>
      <c r="H108" s="99" t="inlineStr">
        <is>
          <t>Q2 2025</t>
        </is>
      </c>
      <c r="I108" s="101" t="n">
        <v>13169.85</v>
      </c>
      <c r="J108" s="101" t="n">
        <v>10867.46</v>
      </c>
      <c r="K108" s="101" t="n">
        <v>0</v>
      </c>
      <c r="L108" s="165">
        <f>I108-J108</f>
        <v/>
      </c>
      <c r="M108" s="166">
        <f>IF(I108=0,0,ROUND((I108-J108)/I108,4))</f>
        <v/>
      </c>
      <c r="N108" s="104">
        <f>IF(I108=0,0,J108/I108)</f>
        <v/>
      </c>
      <c r="O108" s="105">
        <f>IF(L108&gt;=0,"Under","Over")</f>
        <v/>
      </c>
      <c r="P108" s="69">
        <f>IF(M108&lt;-0.05,"Watch","On Track")</f>
        <v/>
      </c>
    </row>
    <row r="109" ht="16" customHeight="1">
      <c r="A109" s="106" t="inlineStr">
        <is>
          <t>CC-00108</t>
        </is>
      </c>
      <c r="B109" s="71" t="inlineStr">
        <is>
          <t>EVT-2025-010</t>
        </is>
      </c>
      <c r="C109" s="70" t="inlineStr">
        <is>
          <t>Influximab Launch Event Barcelona Apr 2025</t>
        </is>
      </c>
      <c r="D109" s="70" t="inlineStr">
        <is>
          <t>Immunology</t>
        </is>
      </c>
      <c r="E109" s="70" t="inlineStr">
        <is>
          <t>BU Immunology</t>
        </is>
      </c>
      <c r="F109" s="71" t="inlineStr">
        <is>
          <t>Translation</t>
        </is>
      </c>
      <c r="G109" s="71" t="inlineStr">
        <is>
          <t>Apr-2025</t>
        </is>
      </c>
      <c r="H109" s="71" t="inlineStr">
        <is>
          <t>Q2 2025</t>
        </is>
      </c>
      <c r="I109" s="73" t="n">
        <v>3950.95</v>
      </c>
      <c r="J109" s="73" t="n">
        <v>3456.8</v>
      </c>
      <c r="K109" s="73" t="n">
        <v>0</v>
      </c>
      <c r="L109" s="163">
        <f>I109-J109</f>
        <v/>
      </c>
      <c r="M109" s="161">
        <f>IF(I109=0,0,ROUND((I109-J109)/I109,4))</f>
        <v/>
      </c>
      <c r="N109" s="107">
        <f>IF(I109=0,0,J109/I109)</f>
        <v/>
      </c>
      <c r="O109" s="108">
        <f>IF(L109&gt;=0,"Under","Over")</f>
        <v/>
      </c>
      <c r="P109" s="69">
        <f>IF(M109&lt;-0.05,"Watch","On Track")</f>
        <v/>
      </c>
    </row>
    <row r="110" ht="16" customHeight="1">
      <c r="A110" s="98" t="inlineStr">
        <is>
          <t>CC-00109</t>
        </is>
      </c>
      <c r="B110" s="99" t="inlineStr">
        <is>
          <t>EVT-2025-010</t>
        </is>
      </c>
      <c r="C110" s="100" t="inlineStr">
        <is>
          <t>Influximab Launch Event Barcelona Apr 2025</t>
        </is>
      </c>
      <c r="D110" s="100" t="inlineStr">
        <is>
          <t>Immunology</t>
        </is>
      </c>
      <c r="E110" s="100" t="inlineStr">
        <is>
          <t>BU Immunology</t>
        </is>
      </c>
      <c r="F110" s="99" t="inlineStr">
        <is>
          <t>Print &amp; Production</t>
        </is>
      </c>
      <c r="G110" s="99" t="inlineStr">
        <is>
          <t>Apr-2025</t>
        </is>
      </c>
      <c r="H110" s="99" t="inlineStr">
        <is>
          <t>Q2 2025</t>
        </is>
      </c>
      <c r="I110" s="101" t="n">
        <v>2633.97</v>
      </c>
      <c r="J110" s="101" t="n">
        <v>2667.3</v>
      </c>
      <c r="K110" s="101" t="n">
        <v>0</v>
      </c>
      <c r="L110" s="167">
        <f>I110-J110</f>
        <v/>
      </c>
      <c r="M110" s="166">
        <f>IF(I110=0,0,ROUND((I110-J110)/I110,4))</f>
        <v/>
      </c>
      <c r="N110" s="104">
        <f>IF(I110=0,0,J110/I110)</f>
        <v/>
      </c>
      <c r="O110" s="111">
        <f>IF(L110&gt;=0,"Under","Over")</f>
        <v/>
      </c>
      <c r="P110" s="69">
        <f>IF(M110&lt;-0.05,"Watch","On Track")</f>
        <v/>
      </c>
    </row>
    <row r="111" ht="16" customHeight="1">
      <c r="A111" s="106" t="inlineStr">
        <is>
          <t>CC-00110</t>
        </is>
      </c>
      <c r="B111" s="71" t="inlineStr">
        <is>
          <t>EVT-2025-010</t>
        </is>
      </c>
      <c r="C111" s="70" t="inlineStr">
        <is>
          <t>Influximab Launch Event Barcelona Apr 2025</t>
        </is>
      </c>
      <c r="D111" s="70" t="inlineStr">
        <is>
          <t>Immunology</t>
        </is>
      </c>
      <c r="E111" s="70" t="inlineStr">
        <is>
          <t>BU Immunology</t>
        </is>
      </c>
      <c r="F111" s="71" t="inlineStr">
        <is>
          <t>Miscellaneous</t>
        </is>
      </c>
      <c r="G111" s="71" t="inlineStr">
        <is>
          <t>Apr-2025</t>
        </is>
      </c>
      <c r="H111" s="71" t="inlineStr">
        <is>
          <t>Q2 2025</t>
        </is>
      </c>
      <c r="I111" s="73" t="n">
        <v>2633.97</v>
      </c>
      <c r="J111" s="73" t="n">
        <v>2401.18</v>
      </c>
      <c r="K111" s="73" t="n">
        <v>0</v>
      </c>
      <c r="L111" s="163">
        <f>I111-J111</f>
        <v/>
      </c>
      <c r="M111" s="161">
        <f>IF(I111=0,0,ROUND((I111-J111)/I111,4))</f>
        <v/>
      </c>
      <c r="N111" s="107">
        <f>IF(I111=0,0,J111/I111)</f>
        <v/>
      </c>
      <c r="O111" s="108">
        <f>IF(L111&gt;=0,"Under","Over")</f>
        <v/>
      </c>
      <c r="P111" s="69">
        <f>IF(M111&lt;-0.05,"Watch","On Track")</f>
        <v/>
      </c>
    </row>
    <row r="112" ht="16" customHeight="1">
      <c r="A112" s="98" t="inlineStr">
        <is>
          <t>CC-00111</t>
        </is>
      </c>
      <c r="B112" s="99" t="inlineStr">
        <is>
          <t>EVT-2025-011</t>
        </is>
      </c>
      <c r="C112" s="100" t="inlineStr">
        <is>
          <t>Influximab Launch Event Amsterdam Dec 2025</t>
        </is>
      </c>
      <c r="D112" s="100" t="inlineStr">
        <is>
          <t>Immunology</t>
        </is>
      </c>
      <c r="E112" s="100" t="inlineStr">
        <is>
          <t>BU Immunology</t>
        </is>
      </c>
      <c r="F112" s="99" t="inlineStr">
        <is>
          <t>Airfare</t>
        </is>
      </c>
      <c r="G112" s="99" t="inlineStr">
        <is>
          <t>Dec-2025</t>
        </is>
      </c>
      <c r="H112" s="99" t="inlineStr">
        <is>
          <t>Q4 2025</t>
        </is>
      </c>
      <c r="I112" s="101" t="n">
        <v>27174.81</v>
      </c>
      <c r="J112" s="101" t="n">
        <v>24607.38</v>
      </c>
      <c r="K112" s="101" t="n">
        <v>18174.99</v>
      </c>
      <c r="L112" s="165">
        <f>I112-J112</f>
        <v/>
      </c>
      <c r="M112" s="166">
        <f>IF(I112=0,0,ROUND((I112-J112)/I112,4))</f>
        <v/>
      </c>
      <c r="N112" s="104">
        <f>IF(I112=0,0,J112/I112)</f>
        <v/>
      </c>
      <c r="O112" s="105">
        <f>IF(L112&gt;=0,"Under","Over")</f>
        <v/>
      </c>
      <c r="P112" s="69">
        <f>IF(M112&lt;-0.05,"Watch","On Track")</f>
        <v/>
      </c>
    </row>
    <row r="113" ht="16" customHeight="1">
      <c r="A113" s="106" t="inlineStr">
        <is>
          <t>CC-00112</t>
        </is>
      </c>
      <c r="B113" s="71" t="inlineStr">
        <is>
          <t>EVT-2025-011</t>
        </is>
      </c>
      <c r="C113" s="70" t="inlineStr">
        <is>
          <t>Influximab Launch Event Amsterdam Dec 2025</t>
        </is>
      </c>
      <c r="D113" s="70" t="inlineStr">
        <is>
          <t>Immunology</t>
        </is>
      </c>
      <c r="E113" s="70" t="inlineStr">
        <is>
          <t>BU Immunology</t>
        </is>
      </c>
      <c r="F113" s="71" t="inlineStr">
        <is>
          <t>Hotel</t>
        </is>
      </c>
      <c r="G113" s="71" t="inlineStr">
        <is>
          <t>Dec-2025</t>
        </is>
      </c>
      <c r="H113" s="71" t="inlineStr">
        <is>
          <t>Q4 2025</t>
        </is>
      </c>
      <c r="I113" s="73" t="n">
        <v>48914.65</v>
      </c>
      <c r="J113" s="73" t="n">
        <v>31713.36</v>
      </c>
      <c r="K113" s="73" t="n">
        <v>25749.96</v>
      </c>
      <c r="L113" s="163">
        <f>I113-J113</f>
        <v/>
      </c>
      <c r="M113" s="161">
        <f>IF(I113=0,0,ROUND((I113-J113)/I113,4))</f>
        <v/>
      </c>
      <c r="N113" s="107">
        <f>IF(I113=0,0,J113/I113)</f>
        <v/>
      </c>
      <c r="O113" s="108">
        <f>IF(L113&gt;=0,"Under","Over")</f>
        <v/>
      </c>
      <c r="P113" s="69">
        <f>IF(M113&lt;-0.05,"Watch","On Track")</f>
        <v/>
      </c>
    </row>
    <row r="114" ht="16" customHeight="1">
      <c r="A114" s="98" t="inlineStr">
        <is>
          <t>CC-00113</t>
        </is>
      </c>
      <c r="B114" s="99" t="inlineStr">
        <is>
          <t>EVT-2025-011</t>
        </is>
      </c>
      <c r="C114" s="100" t="inlineStr">
        <is>
          <t>Influximab Launch Event Amsterdam Dec 2025</t>
        </is>
      </c>
      <c r="D114" s="100" t="inlineStr">
        <is>
          <t>Immunology</t>
        </is>
      </c>
      <c r="E114" s="100" t="inlineStr">
        <is>
          <t>BU Immunology</t>
        </is>
      </c>
      <c r="F114" s="99" t="inlineStr">
        <is>
          <t>Venue</t>
        </is>
      </c>
      <c r="G114" s="99" t="inlineStr">
        <is>
          <t>Dec-2025</t>
        </is>
      </c>
      <c r="H114" s="99" t="inlineStr">
        <is>
          <t>Q4 2025</t>
        </is>
      </c>
      <c r="I114" s="101" t="n">
        <v>40762.21</v>
      </c>
      <c r="J114" s="101" t="n">
        <v>44569.15</v>
      </c>
      <c r="K114" s="101" t="n">
        <v>38657.03</v>
      </c>
      <c r="L114" s="167">
        <f>I114-J114</f>
        <v/>
      </c>
      <c r="M114" s="168">
        <f>IF(I114=0,0,ROUND((I114-J114)/I114,4))</f>
        <v/>
      </c>
      <c r="N114" s="104">
        <f>IF(I114=0,0,J114/I114)</f>
        <v/>
      </c>
      <c r="O114" s="111">
        <f>IF(L114&gt;=0,"Under","Over")</f>
        <v/>
      </c>
      <c r="P114" s="76">
        <f>IF(M114&lt;-0.05,"Watch","On Track")</f>
        <v/>
      </c>
    </row>
    <row r="115" ht="16" customHeight="1">
      <c r="A115" s="106" t="inlineStr">
        <is>
          <t>CC-00114</t>
        </is>
      </c>
      <c r="B115" s="71" t="inlineStr">
        <is>
          <t>EVT-2025-011</t>
        </is>
      </c>
      <c r="C115" s="70" t="inlineStr">
        <is>
          <t>Influximab Launch Event Amsterdam Dec 2025</t>
        </is>
      </c>
      <c r="D115" s="70" t="inlineStr">
        <is>
          <t>Immunology</t>
        </is>
      </c>
      <c r="E115" s="70" t="inlineStr">
        <is>
          <t>BU Immunology</t>
        </is>
      </c>
      <c r="F115" s="71" t="inlineStr">
        <is>
          <t>F&amp;B</t>
        </is>
      </c>
      <c r="G115" s="71" t="inlineStr">
        <is>
          <t>Dec-2025</t>
        </is>
      </c>
      <c r="H115" s="71" t="inlineStr">
        <is>
          <t>Q4 2025</t>
        </is>
      </c>
      <c r="I115" s="73" t="n">
        <v>32609.77</v>
      </c>
      <c r="J115" s="73" t="n">
        <v>25527.03</v>
      </c>
      <c r="K115" s="73" t="n">
        <v>18973.74</v>
      </c>
      <c r="L115" s="163">
        <f>I115-J115</f>
        <v/>
      </c>
      <c r="M115" s="161">
        <f>IF(I115=0,0,ROUND((I115-J115)/I115,4))</f>
        <v/>
      </c>
      <c r="N115" s="107">
        <f>IF(I115=0,0,J115/I115)</f>
        <v/>
      </c>
      <c r="O115" s="108">
        <f>IF(L115&gt;=0,"Under","Over")</f>
        <v/>
      </c>
      <c r="P115" s="69">
        <f>IF(M115&lt;-0.05,"Watch","On Track")</f>
        <v/>
      </c>
    </row>
    <row r="116" ht="16" customHeight="1">
      <c r="A116" s="98" t="inlineStr">
        <is>
          <t>CC-00115</t>
        </is>
      </c>
      <c r="B116" s="99" t="inlineStr">
        <is>
          <t>EVT-2025-011</t>
        </is>
      </c>
      <c r="C116" s="100" t="inlineStr">
        <is>
          <t>Influximab Launch Event Amsterdam Dec 2025</t>
        </is>
      </c>
      <c r="D116" s="100" t="inlineStr">
        <is>
          <t>Immunology</t>
        </is>
      </c>
      <c r="E116" s="100" t="inlineStr">
        <is>
          <t>BU Immunology</t>
        </is>
      </c>
      <c r="F116" s="99" t="inlineStr">
        <is>
          <t>Logistics</t>
        </is>
      </c>
      <c r="G116" s="99" t="inlineStr">
        <is>
          <t>Dec-2025</t>
        </is>
      </c>
      <c r="H116" s="99" t="inlineStr">
        <is>
          <t>Q4 2025</t>
        </is>
      </c>
      <c r="I116" s="101" t="n">
        <v>16304.88</v>
      </c>
      <c r="J116" s="101" t="n">
        <v>14694.47</v>
      </c>
      <c r="K116" s="101" t="n">
        <v>12055.58</v>
      </c>
      <c r="L116" s="165">
        <f>I116-J116</f>
        <v/>
      </c>
      <c r="M116" s="166">
        <f>IF(I116=0,0,ROUND((I116-J116)/I116,4))</f>
        <v/>
      </c>
      <c r="N116" s="104">
        <f>IF(I116=0,0,J116/I116)</f>
        <v/>
      </c>
      <c r="O116" s="105">
        <f>IF(L116&gt;=0,"Under","Over")</f>
        <v/>
      </c>
      <c r="P116" s="69">
        <f>IF(M116&lt;-0.05,"Watch","On Track")</f>
        <v/>
      </c>
    </row>
    <row r="117" ht="16" customHeight="1">
      <c r="A117" s="106" t="inlineStr">
        <is>
          <t>CC-00116</t>
        </is>
      </c>
      <c r="B117" s="71" t="inlineStr">
        <is>
          <t>EVT-2025-011</t>
        </is>
      </c>
      <c r="C117" s="70" t="inlineStr">
        <is>
          <t>Influximab Launch Event Amsterdam Dec 2025</t>
        </is>
      </c>
      <c r="D117" s="70" t="inlineStr">
        <is>
          <t>Immunology</t>
        </is>
      </c>
      <c r="E117" s="70" t="inlineStr">
        <is>
          <t>BU Immunology</t>
        </is>
      </c>
      <c r="F117" s="71" t="inlineStr">
        <is>
          <t>AV &amp; Technology</t>
        </is>
      </c>
      <c r="G117" s="71" t="inlineStr">
        <is>
          <t>Dec-2025</t>
        </is>
      </c>
      <c r="H117" s="71" t="inlineStr">
        <is>
          <t>Q4 2025</t>
        </is>
      </c>
      <c r="I117" s="73" t="n">
        <v>21739.84</v>
      </c>
      <c r="J117" s="73" t="n">
        <v>13481.47</v>
      </c>
      <c r="K117" s="73" t="n">
        <v>9594.41</v>
      </c>
      <c r="L117" s="163">
        <f>I117-J117</f>
        <v/>
      </c>
      <c r="M117" s="161">
        <f>IF(I117=0,0,ROUND((I117-J117)/I117,4))</f>
        <v/>
      </c>
      <c r="N117" s="107">
        <f>IF(I117=0,0,J117/I117)</f>
        <v/>
      </c>
      <c r="O117" s="108">
        <f>IF(L117&gt;=0,"Under","Over")</f>
        <v/>
      </c>
      <c r="P117" s="69">
        <f>IF(M117&lt;-0.05,"Watch","On Track")</f>
        <v/>
      </c>
    </row>
    <row r="118" ht="16" customHeight="1">
      <c r="A118" s="98" t="inlineStr">
        <is>
          <t>CC-00117</t>
        </is>
      </c>
      <c r="B118" s="99" t="inlineStr">
        <is>
          <t>EVT-2025-011</t>
        </is>
      </c>
      <c r="C118" s="100" t="inlineStr">
        <is>
          <t>Influximab Launch Event Amsterdam Dec 2025</t>
        </is>
      </c>
      <c r="D118" s="100" t="inlineStr">
        <is>
          <t>Immunology</t>
        </is>
      </c>
      <c r="E118" s="100" t="inlineStr">
        <is>
          <t>BU Immunology</t>
        </is>
      </c>
      <c r="F118" s="99" t="inlineStr">
        <is>
          <t>Agency Fees</t>
        </is>
      </c>
      <c r="G118" s="99" t="inlineStr">
        <is>
          <t>Dec-2025</t>
        </is>
      </c>
      <c r="H118" s="99" t="inlineStr">
        <is>
          <t>Q4 2025</t>
        </is>
      </c>
      <c r="I118" s="101" t="n">
        <v>38044.73</v>
      </c>
      <c r="J118" s="101" t="n">
        <v>36401.04</v>
      </c>
      <c r="K118" s="101" t="n">
        <v>34260.29</v>
      </c>
      <c r="L118" s="165">
        <f>I118-J118</f>
        <v/>
      </c>
      <c r="M118" s="166">
        <f>IF(I118=0,0,ROUND((I118-J118)/I118,4))</f>
        <v/>
      </c>
      <c r="N118" s="104">
        <f>IF(I118=0,0,J118/I118)</f>
        <v/>
      </c>
      <c r="O118" s="105">
        <f>IF(L118&gt;=0,"Under","Over")</f>
        <v/>
      </c>
      <c r="P118" s="69">
        <f>IF(M118&lt;-0.05,"Watch","On Track")</f>
        <v/>
      </c>
    </row>
    <row r="119" ht="16" customHeight="1">
      <c r="A119" s="106" t="inlineStr">
        <is>
          <t>CC-00118</t>
        </is>
      </c>
      <c r="B119" s="71" t="inlineStr">
        <is>
          <t>EVT-2025-011</t>
        </is>
      </c>
      <c r="C119" s="70" t="inlineStr">
        <is>
          <t>Influximab Launch Event Amsterdam Dec 2025</t>
        </is>
      </c>
      <c r="D119" s="70" t="inlineStr">
        <is>
          <t>Immunology</t>
        </is>
      </c>
      <c r="E119" s="70" t="inlineStr">
        <is>
          <t>BU Immunology</t>
        </is>
      </c>
      <c r="F119" s="71" t="inlineStr">
        <is>
          <t>Speaker Fees</t>
        </is>
      </c>
      <c r="G119" s="71" t="inlineStr">
        <is>
          <t>Dec-2025</t>
        </is>
      </c>
      <c r="H119" s="71" t="inlineStr">
        <is>
          <t>Q4 2025</t>
        </is>
      </c>
      <c r="I119" s="73" t="n">
        <v>27174.81</v>
      </c>
      <c r="J119" s="73" t="n">
        <v>23361.27</v>
      </c>
      <c r="K119" s="73" t="n">
        <v>17396.72</v>
      </c>
      <c r="L119" s="163">
        <f>I119-J119</f>
        <v/>
      </c>
      <c r="M119" s="161">
        <f>IF(I119=0,0,ROUND((I119-J119)/I119,4))</f>
        <v/>
      </c>
      <c r="N119" s="107">
        <f>IF(I119=0,0,J119/I119)</f>
        <v/>
      </c>
      <c r="O119" s="108">
        <f>IF(L119&gt;=0,"Under","Over")</f>
        <v/>
      </c>
      <c r="P119" s="69">
        <f>IF(M119&lt;-0.05,"Watch","On Track")</f>
        <v/>
      </c>
    </row>
    <row r="120" ht="16" customHeight="1">
      <c r="A120" s="98" t="inlineStr">
        <is>
          <t>CC-00119</t>
        </is>
      </c>
      <c r="B120" s="99" t="inlineStr">
        <is>
          <t>EVT-2025-011</t>
        </is>
      </c>
      <c r="C120" s="100" t="inlineStr">
        <is>
          <t>Influximab Launch Event Amsterdam Dec 2025</t>
        </is>
      </c>
      <c r="D120" s="100" t="inlineStr">
        <is>
          <t>Immunology</t>
        </is>
      </c>
      <c r="E120" s="100" t="inlineStr">
        <is>
          <t>BU Immunology</t>
        </is>
      </c>
      <c r="F120" s="99" t="inlineStr">
        <is>
          <t>Translation</t>
        </is>
      </c>
      <c r="G120" s="99" t="inlineStr">
        <is>
          <t>Dec-2025</t>
        </is>
      </c>
      <c r="H120" s="99" t="inlineStr">
        <is>
          <t>Q4 2025</t>
        </is>
      </c>
      <c r="I120" s="101" t="n">
        <v>8152.44</v>
      </c>
      <c r="J120" s="101" t="n">
        <v>8532.07</v>
      </c>
      <c r="K120" s="101" t="n">
        <v>6330.24</v>
      </c>
      <c r="L120" s="167">
        <f>I120-J120</f>
        <v/>
      </c>
      <c r="M120" s="166">
        <f>IF(I120=0,0,ROUND((I120-J120)/I120,4))</f>
        <v/>
      </c>
      <c r="N120" s="104">
        <f>IF(I120=0,0,J120/I120)</f>
        <v/>
      </c>
      <c r="O120" s="111">
        <f>IF(L120&gt;=0,"Under","Over")</f>
        <v/>
      </c>
      <c r="P120" s="69">
        <f>IF(M120&lt;-0.05,"Watch","On Track")</f>
        <v/>
      </c>
    </row>
    <row r="121" ht="16" customHeight="1">
      <c r="A121" s="106" t="inlineStr">
        <is>
          <t>CC-00120</t>
        </is>
      </c>
      <c r="B121" s="71" t="inlineStr">
        <is>
          <t>EVT-2025-011</t>
        </is>
      </c>
      <c r="C121" s="70" t="inlineStr">
        <is>
          <t>Influximab Launch Event Amsterdam Dec 2025</t>
        </is>
      </c>
      <c r="D121" s="70" t="inlineStr">
        <is>
          <t>Immunology</t>
        </is>
      </c>
      <c r="E121" s="70" t="inlineStr">
        <is>
          <t>BU Immunology</t>
        </is>
      </c>
      <c r="F121" s="71" t="inlineStr">
        <is>
          <t>Print &amp; Production</t>
        </is>
      </c>
      <c r="G121" s="71" t="inlineStr">
        <is>
          <t>Dec-2025</t>
        </is>
      </c>
      <c r="H121" s="71" t="inlineStr">
        <is>
          <t>Q4 2025</t>
        </is>
      </c>
      <c r="I121" s="73" t="n">
        <v>5434.96</v>
      </c>
      <c r="J121" s="73" t="n">
        <v>5791.95</v>
      </c>
      <c r="K121" s="73" t="n">
        <v>4607.84</v>
      </c>
      <c r="L121" s="158">
        <f>I121-J121</f>
        <v/>
      </c>
      <c r="M121" s="159">
        <f>IF(I121=0,0,ROUND((I121-J121)/I121,4))</f>
        <v/>
      </c>
      <c r="N121" s="107">
        <f>IF(I121=0,0,J121/I121)</f>
        <v/>
      </c>
      <c r="O121" s="112">
        <f>IF(L121&gt;=0,"Under","Over")</f>
        <v/>
      </c>
      <c r="P121" s="76">
        <f>IF(M121&lt;-0.05,"Watch","On Track")</f>
        <v/>
      </c>
    </row>
    <row r="122" ht="16" customHeight="1">
      <c r="A122" s="98" t="inlineStr">
        <is>
          <t>CC-00121</t>
        </is>
      </c>
      <c r="B122" s="99" t="inlineStr">
        <is>
          <t>EVT-2025-011</t>
        </is>
      </c>
      <c r="C122" s="100" t="inlineStr">
        <is>
          <t>Influximab Launch Event Amsterdam Dec 2025</t>
        </is>
      </c>
      <c r="D122" s="100" t="inlineStr">
        <is>
          <t>Immunology</t>
        </is>
      </c>
      <c r="E122" s="100" t="inlineStr">
        <is>
          <t>BU Immunology</t>
        </is>
      </c>
      <c r="F122" s="99" t="inlineStr">
        <is>
          <t>Miscellaneous</t>
        </is>
      </c>
      <c r="G122" s="99" t="inlineStr">
        <is>
          <t>Dec-2025</t>
        </is>
      </c>
      <c r="H122" s="99" t="inlineStr">
        <is>
          <t>Q4 2025</t>
        </is>
      </c>
      <c r="I122" s="101" t="n">
        <v>5434.96</v>
      </c>
      <c r="J122" s="101" t="n">
        <v>4328.82</v>
      </c>
      <c r="K122" s="101" t="n">
        <v>3830.79</v>
      </c>
      <c r="L122" s="165">
        <f>I122-J122</f>
        <v/>
      </c>
      <c r="M122" s="166">
        <f>IF(I122=0,0,ROUND((I122-J122)/I122,4))</f>
        <v/>
      </c>
      <c r="N122" s="104">
        <f>IF(I122=0,0,J122/I122)</f>
        <v/>
      </c>
      <c r="O122" s="105">
        <f>IF(L122&gt;=0,"Under","Over")</f>
        <v/>
      </c>
      <c r="P122" s="69">
        <f>IF(M122&lt;-0.05,"Watch","On Track")</f>
        <v/>
      </c>
    </row>
    <row r="123" ht="16" customHeight="1">
      <c r="A123" s="106" t="inlineStr">
        <is>
          <t>CC-00122</t>
        </is>
      </c>
      <c r="B123" s="71" t="inlineStr">
        <is>
          <t>EVT-2025-012</t>
        </is>
      </c>
      <c r="C123" s="70" t="inlineStr">
        <is>
          <t>Rarzolene KOL Meeting Istanbul Oct 2025</t>
        </is>
      </c>
      <c r="D123" s="70" t="inlineStr">
        <is>
          <t>Rare Diseases</t>
        </is>
      </c>
      <c r="E123" s="70" t="inlineStr">
        <is>
          <t>BU Rare Diseases</t>
        </is>
      </c>
      <c r="F123" s="71" t="inlineStr">
        <is>
          <t>Airfare</t>
        </is>
      </c>
      <c r="G123" s="71" t="inlineStr">
        <is>
          <t>Oct-2025</t>
        </is>
      </c>
      <c r="H123" s="71" t="inlineStr">
        <is>
          <t>Q4 2025</t>
        </is>
      </c>
      <c r="I123" s="73" t="n">
        <v>50913.97</v>
      </c>
      <c r="J123" s="73" t="n">
        <v>51998.49</v>
      </c>
      <c r="K123" s="73" t="n">
        <v>45660.78</v>
      </c>
      <c r="L123" s="158">
        <f>I123-J123</f>
        <v/>
      </c>
      <c r="M123" s="161">
        <f>IF(I123=0,0,ROUND((I123-J123)/I123,4))</f>
        <v/>
      </c>
      <c r="N123" s="107">
        <f>IF(I123=0,0,J123/I123)</f>
        <v/>
      </c>
      <c r="O123" s="112">
        <f>IF(L123&gt;=0,"Under","Over")</f>
        <v/>
      </c>
      <c r="P123" s="69">
        <f>IF(M123&lt;-0.05,"Watch","On Track")</f>
        <v/>
      </c>
    </row>
    <row r="124" ht="16" customHeight="1">
      <c r="A124" s="98" t="inlineStr">
        <is>
          <t>CC-00123</t>
        </is>
      </c>
      <c r="B124" s="99" t="inlineStr">
        <is>
          <t>EVT-2025-012</t>
        </is>
      </c>
      <c r="C124" s="100" t="inlineStr">
        <is>
          <t>Rarzolene KOL Meeting Istanbul Oct 2025</t>
        </is>
      </c>
      <c r="D124" s="100" t="inlineStr">
        <is>
          <t>Rare Diseases</t>
        </is>
      </c>
      <c r="E124" s="100" t="inlineStr">
        <is>
          <t>BU Rare Diseases</t>
        </is>
      </c>
      <c r="F124" s="99" t="inlineStr">
        <is>
          <t>Hotel</t>
        </is>
      </c>
      <c r="G124" s="99" t="inlineStr">
        <is>
          <t>Oct-2025</t>
        </is>
      </c>
      <c r="H124" s="99" t="inlineStr">
        <is>
          <t>Q4 2025</t>
        </is>
      </c>
      <c r="I124" s="101" t="n">
        <v>91645.14</v>
      </c>
      <c r="J124" s="101" t="n">
        <v>78233.56</v>
      </c>
      <c r="K124" s="101" t="n">
        <v>66726.52</v>
      </c>
      <c r="L124" s="165">
        <f>I124-J124</f>
        <v/>
      </c>
      <c r="M124" s="166">
        <f>IF(I124=0,0,ROUND((I124-J124)/I124,4))</f>
        <v/>
      </c>
      <c r="N124" s="104">
        <f>IF(I124=0,0,J124/I124)</f>
        <v/>
      </c>
      <c r="O124" s="105">
        <f>IF(L124&gt;=0,"Under","Over")</f>
        <v/>
      </c>
      <c r="P124" s="69">
        <f>IF(M124&lt;-0.05,"Watch","On Track")</f>
        <v/>
      </c>
    </row>
    <row r="125" ht="16" customHeight="1">
      <c r="A125" s="106" t="inlineStr">
        <is>
          <t>CC-00124</t>
        </is>
      </c>
      <c r="B125" s="71" t="inlineStr">
        <is>
          <t>EVT-2025-012</t>
        </is>
      </c>
      <c r="C125" s="70" t="inlineStr">
        <is>
          <t>Rarzolene KOL Meeting Istanbul Oct 2025</t>
        </is>
      </c>
      <c r="D125" s="70" t="inlineStr">
        <is>
          <t>Rare Diseases</t>
        </is>
      </c>
      <c r="E125" s="70" t="inlineStr">
        <is>
          <t>BU Rare Diseases</t>
        </is>
      </c>
      <c r="F125" s="71" t="inlineStr">
        <is>
          <t>Venue</t>
        </is>
      </c>
      <c r="G125" s="71" t="inlineStr">
        <is>
          <t>Oct-2025</t>
        </is>
      </c>
      <c r="H125" s="71" t="inlineStr">
        <is>
          <t>Q4 2025</t>
        </is>
      </c>
      <c r="I125" s="73" t="n">
        <v>76370.95</v>
      </c>
      <c r="J125" s="73" t="n">
        <v>64527.6</v>
      </c>
      <c r="K125" s="73" t="n">
        <v>56066.57</v>
      </c>
      <c r="L125" s="163">
        <f>I125-J125</f>
        <v/>
      </c>
      <c r="M125" s="161">
        <f>IF(I125=0,0,ROUND((I125-J125)/I125,4))</f>
        <v/>
      </c>
      <c r="N125" s="107">
        <f>IF(I125=0,0,J125/I125)</f>
        <v/>
      </c>
      <c r="O125" s="108">
        <f>IF(L125&gt;=0,"Under","Over")</f>
        <v/>
      </c>
      <c r="P125" s="69">
        <f>IF(M125&lt;-0.05,"Watch","On Track")</f>
        <v/>
      </c>
    </row>
    <row r="126" ht="16" customHeight="1">
      <c r="A126" s="98" t="inlineStr">
        <is>
          <t>CC-00125</t>
        </is>
      </c>
      <c r="B126" s="99" t="inlineStr">
        <is>
          <t>EVT-2025-012</t>
        </is>
      </c>
      <c r="C126" s="100" t="inlineStr">
        <is>
          <t>Rarzolene KOL Meeting Istanbul Oct 2025</t>
        </is>
      </c>
      <c r="D126" s="100" t="inlineStr">
        <is>
          <t>Rare Diseases</t>
        </is>
      </c>
      <c r="E126" s="100" t="inlineStr">
        <is>
          <t>BU Rare Diseases</t>
        </is>
      </c>
      <c r="F126" s="99" t="inlineStr">
        <is>
          <t>F&amp;B</t>
        </is>
      </c>
      <c r="G126" s="99" t="inlineStr">
        <is>
          <t>Oct-2025</t>
        </is>
      </c>
      <c r="H126" s="99" t="inlineStr">
        <is>
          <t>Q4 2025</t>
        </is>
      </c>
      <c r="I126" s="101" t="n">
        <v>61096.76</v>
      </c>
      <c r="J126" s="101" t="n">
        <v>51165.26</v>
      </c>
      <c r="K126" s="101" t="n">
        <v>36071.05</v>
      </c>
      <c r="L126" s="165">
        <f>I126-J126</f>
        <v/>
      </c>
      <c r="M126" s="166">
        <f>IF(I126=0,0,ROUND((I126-J126)/I126,4))</f>
        <v/>
      </c>
      <c r="N126" s="104">
        <f>IF(I126=0,0,J126/I126)</f>
        <v/>
      </c>
      <c r="O126" s="105">
        <f>IF(L126&gt;=0,"Under","Over")</f>
        <v/>
      </c>
      <c r="P126" s="69">
        <f>IF(M126&lt;-0.05,"Watch","On Track")</f>
        <v/>
      </c>
    </row>
    <row r="127" ht="16" customHeight="1">
      <c r="A127" s="106" t="inlineStr">
        <is>
          <t>CC-00126</t>
        </is>
      </c>
      <c r="B127" s="71" t="inlineStr">
        <is>
          <t>EVT-2025-012</t>
        </is>
      </c>
      <c r="C127" s="70" t="inlineStr">
        <is>
          <t>Rarzolene KOL Meeting Istanbul Oct 2025</t>
        </is>
      </c>
      <c r="D127" s="70" t="inlineStr">
        <is>
          <t>Rare Diseases</t>
        </is>
      </c>
      <c r="E127" s="70" t="inlineStr">
        <is>
          <t>BU Rare Diseases</t>
        </is>
      </c>
      <c r="F127" s="71" t="inlineStr">
        <is>
          <t>Logistics</t>
        </is>
      </c>
      <c r="G127" s="71" t="inlineStr">
        <is>
          <t>Oct-2025</t>
        </is>
      </c>
      <c r="H127" s="71" t="inlineStr">
        <is>
          <t>Q4 2025</t>
        </is>
      </c>
      <c r="I127" s="73" t="n">
        <v>30548.38</v>
      </c>
      <c r="J127" s="73" t="n">
        <v>23388.44</v>
      </c>
      <c r="K127" s="73" t="n">
        <v>17140.95</v>
      </c>
      <c r="L127" s="163">
        <f>I127-J127</f>
        <v/>
      </c>
      <c r="M127" s="161">
        <f>IF(I127=0,0,ROUND((I127-J127)/I127,4))</f>
        <v/>
      </c>
      <c r="N127" s="107">
        <f>IF(I127=0,0,J127/I127)</f>
        <v/>
      </c>
      <c r="O127" s="108">
        <f>IF(L127&gt;=0,"Under","Over")</f>
        <v/>
      </c>
      <c r="P127" s="69">
        <f>IF(M127&lt;-0.05,"Watch","On Track")</f>
        <v/>
      </c>
    </row>
    <row r="128" ht="16" customHeight="1">
      <c r="A128" s="98" t="inlineStr">
        <is>
          <t>CC-00127</t>
        </is>
      </c>
      <c r="B128" s="99" t="inlineStr">
        <is>
          <t>EVT-2025-012</t>
        </is>
      </c>
      <c r="C128" s="100" t="inlineStr">
        <is>
          <t>Rarzolene KOL Meeting Istanbul Oct 2025</t>
        </is>
      </c>
      <c r="D128" s="100" t="inlineStr">
        <is>
          <t>Rare Diseases</t>
        </is>
      </c>
      <c r="E128" s="100" t="inlineStr">
        <is>
          <t>BU Rare Diseases</t>
        </is>
      </c>
      <c r="F128" s="99" t="inlineStr">
        <is>
          <t>AV &amp; Technology</t>
        </is>
      </c>
      <c r="G128" s="99" t="inlineStr">
        <is>
          <t>Oct-2025</t>
        </is>
      </c>
      <c r="H128" s="99" t="inlineStr">
        <is>
          <t>Q4 2025</t>
        </is>
      </c>
      <c r="I128" s="101" t="n">
        <v>40731.17</v>
      </c>
      <c r="J128" s="101" t="n">
        <v>32921.79</v>
      </c>
      <c r="K128" s="101" t="n">
        <v>26084.04</v>
      </c>
      <c r="L128" s="165">
        <f>I128-J128</f>
        <v/>
      </c>
      <c r="M128" s="166">
        <f>IF(I128=0,0,ROUND((I128-J128)/I128,4))</f>
        <v/>
      </c>
      <c r="N128" s="104">
        <f>IF(I128=0,0,J128/I128)</f>
        <v/>
      </c>
      <c r="O128" s="105">
        <f>IF(L128&gt;=0,"Under","Over")</f>
        <v/>
      </c>
      <c r="P128" s="69">
        <f>IF(M128&lt;-0.05,"Watch","On Track")</f>
        <v/>
      </c>
    </row>
    <row r="129" ht="16" customHeight="1">
      <c r="A129" s="106" t="inlineStr">
        <is>
          <t>CC-00128</t>
        </is>
      </c>
      <c r="B129" s="71" t="inlineStr">
        <is>
          <t>EVT-2025-012</t>
        </is>
      </c>
      <c r="C129" s="70" t="inlineStr">
        <is>
          <t>Rarzolene KOL Meeting Istanbul Oct 2025</t>
        </is>
      </c>
      <c r="D129" s="70" t="inlineStr">
        <is>
          <t>Rare Diseases</t>
        </is>
      </c>
      <c r="E129" s="70" t="inlineStr">
        <is>
          <t>BU Rare Diseases</t>
        </is>
      </c>
      <c r="F129" s="71" t="inlineStr">
        <is>
          <t>Agency Fees</t>
        </is>
      </c>
      <c r="G129" s="71" t="inlineStr">
        <is>
          <t>Oct-2025</t>
        </is>
      </c>
      <c r="H129" s="71" t="inlineStr">
        <is>
          <t>Q4 2025</t>
        </is>
      </c>
      <c r="I129" s="73" t="n">
        <v>71279.55</v>
      </c>
      <c r="J129" s="73" t="n">
        <v>74799.59</v>
      </c>
      <c r="K129" s="73" t="n">
        <v>71929.50999999999</v>
      </c>
      <c r="L129" s="158">
        <f>I129-J129</f>
        <v/>
      </c>
      <c r="M129" s="161">
        <f>IF(I129=0,0,ROUND((I129-J129)/I129,4))</f>
        <v/>
      </c>
      <c r="N129" s="107">
        <f>IF(I129=0,0,J129/I129)</f>
        <v/>
      </c>
      <c r="O129" s="112">
        <f>IF(L129&gt;=0,"Under","Over")</f>
        <v/>
      </c>
      <c r="P129" s="69">
        <f>IF(M129&lt;-0.05,"Watch","On Track")</f>
        <v/>
      </c>
    </row>
    <row r="130" ht="16" customHeight="1">
      <c r="A130" s="98" t="inlineStr">
        <is>
          <t>CC-00129</t>
        </is>
      </c>
      <c r="B130" s="99" t="inlineStr">
        <is>
          <t>EVT-2025-012</t>
        </is>
      </c>
      <c r="C130" s="100" t="inlineStr">
        <is>
          <t>Rarzolene KOL Meeting Istanbul Oct 2025</t>
        </is>
      </c>
      <c r="D130" s="100" t="inlineStr">
        <is>
          <t>Rare Diseases</t>
        </is>
      </c>
      <c r="E130" s="100" t="inlineStr">
        <is>
          <t>BU Rare Diseases</t>
        </is>
      </c>
      <c r="F130" s="99" t="inlineStr">
        <is>
          <t>Speaker Fees</t>
        </is>
      </c>
      <c r="G130" s="99" t="inlineStr">
        <is>
          <t>Oct-2025</t>
        </is>
      </c>
      <c r="H130" s="99" t="inlineStr">
        <is>
          <t>Q4 2025</t>
        </is>
      </c>
      <c r="I130" s="101" t="n">
        <v>50913.97</v>
      </c>
      <c r="J130" s="101" t="n">
        <v>46567.46</v>
      </c>
      <c r="K130" s="101" t="n">
        <v>40936.19</v>
      </c>
      <c r="L130" s="165">
        <f>I130-J130</f>
        <v/>
      </c>
      <c r="M130" s="166">
        <f>IF(I130=0,0,ROUND((I130-J130)/I130,4))</f>
        <v/>
      </c>
      <c r="N130" s="104">
        <f>IF(I130=0,0,J130/I130)</f>
        <v/>
      </c>
      <c r="O130" s="105">
        <f>IF(L130&gt;=0,"Under","Over")</f>
        <v/>
      </c>
      <c r="P130" s="69">
        <f>IF(M130&lt;-0.05,"Watch","On Track")</f>
        <v/>
      </c>
    </row>
    <row r="131" ht="16" customHeight="1">
      <c r="A131" s="106" t="inlineStr">
        <is>
          <t>CC-00130</t>
        </is>
      </c>
      <c r="B131" s="71" t="inlineStr">
        <is>
          <t>EVT-2025-012</t>
        </is>
      </c>
      <c r="C131" s="70" t="inlineStr">
        <is>
          <t>Rarzolene KOL Meeting Istanbul Oct 2025</t>
        </is>
      </c>
      <c r="D131" s="70" t="inlineStr">
        <is>
          <t>Rare Diseases</t>
        </is>
      </c>
      <c r="E131" s="70" t="inlineStr">
        <is>
          <t>BU Rare Diseases</t>
        </is>
      </c>
      <c r="F131" s="71" t="inlineStr">
        <is>
          <t>Translation</t>
        </is>
      </c>
      <c r="G131" s="71" t="inlineStr">
        <is>
          <t>Oct-2025</t>
        </is>
      </c>
      <c r="H131" s="71" t="inlineStr">
        <is>
          <t>Q4 2025</t>
        </is>
      </c>
      <c r="I131" s="73" t="n">
        <v>15274.19</v>
      </c>
      <c r="J131" s="73" t="n">
        <v>11192.4</v>
      </c>
      <c r="K131" s="73" t="n">
        <v>10035.97</v>
      </c>
      <c r="L131" s="163">
        <f>I131-J131</f>
        <v/>
      </c>
      <c r="M131" s="161">
        <f>IF(I131=0,0,ROUND((I131-J131)/I131,4))</f>
        <v/>
      </c>
      <c r="N131" s="107">
        <f>IF(I131=0,0,J131/I131)</f>
        <v/>
      </c>
      <c r="O131" s="108">
        <f>IF(L131&gt;=0,"Under","Over")</f>
        <v/>
      </c>
      <c r="P131" s="69">
        <f>IF(M131&lt;-0.05,"Watch","On Track")</f>
        <v/>
      </c>
    </row>
    <row r="132" ht="16" customHeight="1">
      <c r="A132" s="98" t="inlineStr">
        <is>
          <t>CC-00131</t>
        </is>
      </c>
      <c r="B132" s="99" t="inlineStr">
        <is>
          <t>EVT-2025-012</t>
        </is>
      </c>
      <c r="C132" s="100" t="inlineStr">
        <is>
          <t>Rarzolene KOL Meeting Istanbul Oct 2025</t>
        </is>
      </c>
      <c r="D132" s="100" t="inlineStr">
        <is>
          <t>Rare Diseases</t>
        </is>
      </c>
      <c r="E132" s="100" t="inlineStr">
        <is>
          <t>BU Rare Diseases</t>
        </is>
      </c>
      <c r="F132" s="99" t="inlineStr">
        <is>
          <t>Print &amp; Production</t>
        </is>
      </c>
      <c r="G132" s="99" t="inlineStr">
        <is>
          <t>Oct-2025</t>
        </is>
      </c>
      <c r="H132" s="99" t="inlineStr">
        <is>
          <t>Q4 2025</t>
        </is>
      </c>
      <c r="I132" s="101" t="n">
        <v>10182.79</v>
      </c>
      <c r="J132" s="101" t="n">
        <v>11058.8</v>
      </c>
      <c r="K132" s="101" t="n">
        <v>9660.33</v>
      </c>
      <c r="L132" s="167">
        <f>I132-J132</f>
        <v/>
      </c>
      <c r="M132" s="168">
        <f>IF(I132=0,0,ROUND((I132-J132)/I132,4))</f>
        <v/>
      </c>
      <c r="N132" s="104">
        <f>IF(I132=0,0,J132/I132)</f>
        <v/>
      </c>
      <c r="O132" s="111">
        <f>IF(L132&gt;=0,"Under","Over")</f>
        <v/>
      </c>
      <c r="P132" s="76">
        <f>IF(M132&lt;-0.05,"Watch","On Track")</f>
        <v/>
      </c>
    </row>
    <row r="133" ht="16" customHeight="1">
      <c r="A133" s="106" t="inlineStr">
        <is>
          <t>CC-00132</t>
        </is>
      </c>
      <c r="B133" s="71" t="inlineStr">
        <is>
          <t>EVT-2025-012</t>
        </is>
      </c>
      <c r="C133" s="70" t="inlineStr">
        <is>
          <t>Rarzolene KOL Meeting Istanbul Oct 2025</t>
        </is>
      </c>
      <c r="D133" s="70" t="inlineStr">
        <is>
          <t>Rare Diseases</t>
        </is>
      </c>
      <c r="E133" s="70" t="inlineStr">
        <is>
          <t>BU Rare Diseases</t>
        </is>
      </c>
      <c r="F133" s="71" t="inlineStr">
        <is>
          <t>Miscellaneous</t>
        </is>
      </c>
      <c r="G133" s="71" t="inlineStr">
        <is>
          <t>Oct-2025</t>
        </is>
      </c>
      <c r="H133" s="71" t="inlineStr">
        <is>
          <t>Q4 2025</t>
        </is>
      </c>
      <c r="I133" s="73" t="n">
        <v>10182.79</v>
      </c>
      <c r="J133" s="73" t="n">
        <v>7268.19</v>
      </c>
      <c r="K133" s="73" t="n">
        <v>5199.71</v>
      </c>
      <c r="L133" s="163">
        <f>I133-J133</f>
        <v/>
      </c>
      <c r="M133" s="161">
        <f>IF(I133=0,0,ROUND((I133-J133)/I133,4))</f>
        <v/>
      </c>
      <c r="N133" s="107">
        <f>IF(I133=0,0,J133/I133)</f>
        <v/>
      </c>
      <c r="O133" s="108">
        <f>IF(L133&gt;=0,"Under","Over")</f>
        <v/>
      </c>
      <c r="P133" s="69">
        <f>IF(M133&lt;-0.05,"Watch","On Track")</f>
        <v/>
      </c>
    </row>
    <row r="134" ht="16" customHeight="1">
      <c r="A134" s="98" t="inlineStr">
        <is>
          <t>CC-00133</t>
        </is>
      </c>
      <c r="B134" s="99" t="inlineStr">
        <is>
          <t>EVT-2025-013</t>
        </is>
      </c>
      <c r="C134" s="100" t="inlineStr">
        <is>
          <t>Thrombovex KOL Meeting Berlin Sep 2025</t>
        </is>
      </c>
      <c r="D134" s="100" t="inlineStr">
        <is>
          <t>Hematology</t>
        </is>
      </c>
      <c r="E134" s="100" t="inlineStr">
        <is>
          <t>BU Oncology</t>
        </is>
      </c>
      <c r="F134" s="99" t="inlineStr">
        <is>
          <t>Airfare</t>
        </is>
      </c>
      <c r="G134" s="99" t="inlineStr">
        <is>
          <t>Sep-2025</t>
        </is>
      </c>
      <c r="H134" s="99" t="inlineStr">
        <is>
          <t>Q3 2025</t>
        </is>
      </c>
      <c r="I134" s="101" t="n">
        <v>45427.86</v>
      </c>
      <c r="J134" s="101" t="n">
        <v>38169.6</v>
      </c>
      <c r="K134" s="101" t="n">
        <v>0</v>
      </c>
      <c r="L134" s="165">
        <f>I134-J134</f>
        <v/>
      </c>
      <c r="M134" s="166">
        <f>IF(I134=0,0,ROUND((I134-J134)/I134,4))</f>
        <v/>
      </c>
      <c r="N134" s="104">
        <f>IF(I134=0,0,J134/I134)</f>
        <v/>
      </c>
      <c r="O134" s="105">
        <f>IF(L134&gt;=0,"Under","Over")</f>
        <v/>
      </c>
      <c r="P134" s="69">
        <f>IF(M134&lt;-0.05,"Watch","On Track")</f>
        <v/>
      </c>
    </row>
    <row r="135" ht="16" customHeight="1">
      <c r="A135" s="106" t="inlineStr">
        <is>
          <t>CC-00134</t>
        </is>
      </c>
      <c r="B135" s="71" t="inlineStr">
        <is>
          <t>EVT-2025-013</t>
        </is>
      </c>
      <c r="C135" s="70" t="inlineStr">
        <is>
          <t>Thrombovex KOL Meeting Berlin Sep 2025</t>
        </is>
      </c>
      <c r="D135" s="70" t="inlineStr">
        <is>
          <t>Hematology</t>
        </is>
      </c>
      <c r="E135" s="70" t="inlineStr">
        <is>
          <t>BU Oncology</t>
        </is>
      </c>
      <c r="F135" s="71" t="inlineStr">
        <is>
          <t>Hotel</t>
        </is>
      </c>
      <c r="G135" s="71" t="inlineStr">
        <is>
          <t>Sep-2025</t>
        </is>
      </c>
      <c r="H135" s="71" t="inlineStr">
        <is>
          <t>Q3 2025</t>
        </is>
      </c>
      <c r="I135" s="73" t="n">
        <v>81770.14999999999</v>
      </c>
      <c r="J135" s="73" t="n">
        <v>70495.37</v>
      </c>
      <c r="K135" s="73" t="n">
        <v>0</v>
      </c>
      <c r="L135" s="163">
        <f>I135-J135</f>
        <v/>
      </c>
      <c r="M135" s="161">
        <f>IF(I135=0,0,ROUND((I135-J135)/I135,4))</f>
        <v/>
      </c>
      <c r="N135" s="107">
        <f>IF(I135=0,0,J135/I135)</f>
        <v/>
      </c>
      <c r="O135" s="108">
        <f>IF(L135&gt;=0,"Under","Over")</f>
        <v/>
      </c>
      <c r="P135" s="69">
        <f>IF(M135&lt;-0.05,"Watch","On Track")</f>
        <v/>
      </c>
    </row>
    <row r="136" ht="16" customHeight="1">
      <c r="A136" s="98" t="inlineStr">
        <is>
          <t>CC-00135</t>
        </is>
      </c>
      <c r="B136" s="99" t="inlineStr">
        <is>
          <t>EVT-2025-013</t>
        </is>
      </c>
      <c r="C136" s="100" t="inlineStr">
        <is>
          <t>Thrombovex KOL Meeting Berlin Sep 2025</t>
        </is>
      </c>
      <c r="D136" s="100" t="inlineStr">
        <is>
          <t>Hematology</t>
        </is>
      </c>
      <c r="E136" s="100" t="inlineStr">
        <is>
          <t>BU Oncology</t>
        </is>
      </c>
      <c r="F136" s="99" t="inlineStr">
        <is>
          <t>Venue</t>
        </is>
      </c>
      <c r="G136" s="99" t="inlineStr">
        <is>
          <t>Sep-2025</t>
        </is>
      </c>
      <c r="H136" s="99" t="inlineStr">
        <is>
          <t>Q3 2025</t>
        </is>
      </c>
      <c r="I136" s="101" t="n">
        <v>68141.78999999999</v>
      </c>
      <c r="J136" s="101" t="n">
        <v>65456.42</v>
      </c>
      <c r="K136" s="101" t="n">
        <v>0</v>
      </c>
      <c r="L136" s="165">
        <f>I136-J136</f>
        <v/>
      </c>
      <c r="M136" s="166">
        <f>IF(I136=0,0,ROUND((I136-J136)/I136,4))</f>
        <v/>
      </c>
      <c r="N136" s="104">
        <f>IF(I136=0,0,J136/I136)</f>
        <v/>
      </c>
      <c r="O136" s="105">
        <f>IF(L136&gt;=0,"Under","Over")</f>
        <v/>
      </c>
      <c r="P136" s="69">
        <f>IF(M136&lt;-0.05,"Watch","On Track")</f>
        <v/>
      </c>
    </row>
    <row r="137" ht="16" customHeight="1">
      <c r="A137" s="106" t="inlineStr">
        <is>
          <t>CC-00136</t>
        </is>
      </c>
      <c r="B137" s="71" t="inlineStr">
        <is>
          <t>EVT-2025-013</t>
        </is>
      </c>
      <c r="C137" s="70" t="inlineStr">
        <is>
          <t>Thrombovex KOL Meeting Berlin Sep 2025</t>
        </is>
      </c>
      <c r="D137" s="70" t="inlineStr">
        <is>
          <t>Hematology</t>
        </is>
      </c>
      <c r="E137" s="70" t="inlineStr">
        <is>
          <t>BU Oncology</t>
        </is>
      </c>
      <c r="F137" s="71" t="inlineStr">
        <is>
          <t>F&amp;B</t>
        </is>
      </c>
      <c r="G137" s="71" t="inlineStr">
        <is>
          <t>Sep-2025</t>
        </is>
      </c>
      <c r="H137" s="71" t="inlineStr">
        <is>
          <t>Q3 2025</t>
        </is>
      </c>
      <c r="I137" s="73" t="n">
        <v>54513.43</v>
      </c>
      <c r="J137" s="73" t="n">
        <v>53821.28</v>
      </c>
      <c r="K137" s="73" t="n">
        <v>0</v>
      </c>
      <c r="L137" s="163">
        <f>I137-J137</f>
        <v/>
      </c>
      <c r="M137" s="161">
        <f>IF(I137=0,0,ROUND((I137-J137)/I137,4))</f>
        <v/>
      </c>
      <c r="N137" s="107">
        <f>IF(I137=0,0,J137/I137)</f>
        <v/>
      </c>
      <c r="O137" s="108">
        <f>IF(L137&gt;=0,"Under","Over")</f>
        <v/>
      </c>
      <c r="P137" s="69">
        <f>IF(M137&lt;-0.05,"Watch","On Track")</f>
        <v/>
      </c>
    </row>
    <row r="138" ht="16" customHeight="1">
      <c r="A138" s="98" t="inlineStr">
        <is>
          <t>CC-00137</t>
        </is>
      </c>
      <c r="B138" s="99" t="inlineStr">
        <is>
          <t>EVT-2025-013</t>
        </is>
      </c>
      <c r="C138" s="100" t="inlineStr">
        <is>
          <t>Thrombovex KOL Meeting Berlin Sep 2025</t>
        </is>
      </c>
      <c r="D138" s="100" t="inlineStr">
        <is>
          <t>Hematology</t>
        </is>
      </c>
      <c r="E138" s="100" t="inlineStr">
        <is>
          <t>BU Oncology</t>
        </is>
      </c>
      <c r="F138" s="99" t="inlineStr">
        <is>
          <t>Logistics</t>
        </is>
      </c>
      <c r="G138" s="99" t="inlineStr">
        <is>
          <t>Sep-2025</t>
        </is>
      </c>
      <c r="H138" s="99" t="inlineStr">
        <is>
          <t>Q3 2025</t>
        </is>
      </c>
      <c r="I138" s="101" t="n">
        <v>27256.72</v>
      </c>
      <c r="J138" s="101" t="n">
        <v>21535.4</v>
      </c>
      <c r="K138" s="101" t="n">
        <v>0</v>
      </c>
      <c r="L138" s="165">
        <f>I138-J138</f>
        <v/>
      </c>
      <c r="M138" s="166">
        <f>IF(I138=0,0,ROUND((I138-J138)/I138,4))</f>
        <v/>
      </c>
      <c r="N138" s="104">
        <f>IF(I138=0,0,J138/I138)</f>
        <v/>
      </c>
      <c r="O138" s="105">
        <f>IF(L138&gt;=0,"Under","Over")</f>
        <v/>
      </c>
      <c r="P138" s="69">
        <f>IF(M138&lt;-0.05,"Watch","On Track")</f>
        <v/>
      </c>
    </row>
    <row r="139" ht="16" customHeight="1">
      <c r="A139" s="106" t="inlineStr">
        <is>
          <t>CC-00138</t>
        </is>
      </c>
      <c r="B139" s="71" t="inlineStr">
        <is>
          <t>EVT-2025-013</t>
        </is>
      </c>
      <c r="C139" s="70" t="inlineStr">
        <is>
          <t>Thrombovex KOL Meeting Berlin Sep 2025</t>
        </is>
      </c>
      <c r="D139" s="70" t="inlineStr">
        <is>
          <t>Hematology</t>
        </is>
      </c>
      <c r="E139" s="70" t="inlineStr">
        <is>
          <t>BU Oncology</t>
        </is>
      </c>
      <c r="F139" s="71" t="inlineStr">
        <is>
          <t>AV &amp; Technology</t>
        </is>
      </c>
      <c r="G139" s="71" t="inlineStr">
        <is>
          <t>Sep-2025</t>
        </is>
      </c>
      <c r="H139" s="71" t="inlineStr">
        <is>
          <t>Q3 2025</t>
        </is>
      </c>
      <c r="I139" s="73" t="n">
        <v>36342.29</v>
      </c>
      <c r="J139" s="73" t="n">
        <v>36735.9</v>
      </c>
      <c r="K139" s="73" t="n">
        <v>0</v>
      </c>
      <c r="L139" s="158">
        <f>I139-J139</f>
        <v/>
      </c>
      <c r="M139" s="161">
        <f>IF(I139=0,0,ROUND((I139-J139)/I139,4))</f>
        <v/>
      </c>
      <c r="N139" s="107">
        <f>IF(I139=0,0,J139/I139)</f>
        <v/>
      </c>
      <c r="O139" s="112">
        <f>IF(L139&gt;=0,"Under","Over")</f>
        <v/>
      </c>
      <c r="P139" s="69">
        <f>IF(M139&lt;-0.05,"Watch","On Track")</f>
        <v/>
      </c>
    </row>
    <row r="140" ht="16" customHeight="1">
      <c r="A140" s="98" t="inlineStr">
        <is>
          <t>CC-00139</t>
        </is>
      </c>
      <c r="B140" s="99" t="inlineStr">
        <is>
          <t>EVT-2025-013</t>
        </is>
      </c>
      <c r="C140" s="100" t="inlineStr">
        <is>
          <t>Thrombovex KOL Meeting Berlin Sep 2025</t>
        </is>
      </c>
      <c r="D140" s="100" t="inlineStr">
        <is>
          <t>Hematology</t>
        </is>
      </c>
      <c r="E140" s="100" t="inlineStr">
        <is>
          <t>BU Oncology</t>
        </is>
      </c>
      <c r="F140" s="99" t="inlineStr">
        <is>
          <t>Agency Fees</t>
        </is>
      </c>
      <c r="G140" s="99" t="inlineStr">
        <is>
          <t>Sep-2025</t>
        </is>
      </c>
      <c r="H140" s="99" t="inlineStr">
        <is>
          <t>Q3 2025</t>
        </is>
      </c>
      <c r="I140" s="101" t="n">
        <v>63599.01</v>
      </c>
      <c r="J140" s="101" t="n">
        <v>45861.14</v>
      </c>
      <c r="K140" s="101" t="n">
        <v>0</v>
      </c>
      <c r="L140" s="165">
        <f>I140-J140</f>
        <v/>
      </c>
      <c r="M140" s="166">
        <f>IF(I140=0,0,ROUND((I140-J140)/I140,4))</f>
        <v/>
      </c>
      <c r="N140" s="104">
        <f>IF(I140=0,0,J140/I140)</f>
        <v/>
      </c>
      <c r="O140" s="105">
        <f>IF(L140&gt;=0,"Under","Over")</f>
        <v/>
      </c>
      <c r="P140" s="69">
        <f>IF(M140&lt;-0.05,"Watch","On Track")</f>
        <v/>
      </c>
    </row>
    <row r="141" ht="16" customHeight="1">
      <c r="A141" s="106" t="inlineStr">
        <is>
          <t>CC-00140</t>
        </is>
      </c>
      <c r="B141" s="71" t="inlineStr">
        <is>
          <t>EVT-2025-013</t>
        </is>
      </c>
      <c r="C141" s="70" t="inlineStr">
        <is>
          <t>Thrombovex KOL Meeting Berlin Sep 2025</t>
        </is>
      </c>
      <c r="D141" s="70" t="inlineStr">
        <is>
          <t>Hematology</t>
        </is>
      </c>
      <c r="E141" s="70" t="inlineStr">
        <is>
          <t>BU Oncology</t>
        </is>
      </c>
      <c r="F141" s="71" t="inlineStr">
        <is>
          <t>Speaker Fees</t>
        </is>
      </c>
      <c r="G141" s="71" t="inlineStr">
        <is>
          <t>Sep-2025</t>
        </is>
      </c>
      <c r="H141" s="71" t="inlineStr">
        <is>
          <t>Q3 2025</t>
        </is>
      </c>
      <c r="I141" s="73" t="n">
        <v>45427.86</v>
      </c>
      <c r="J141" s="73" t="n">
        <v>40262.04</v>
      </c>
      <c r="K141" s="73" t="n">
        <v>0</v>
      </c>
      <c r="L141" s="163">
        <f>I141-J141</f>
        <v/>
      </c>
      <c r="M141" s="161">
        <f>IF(I141=0,0,ROUND((I141-J141)/I141,4))</f>
        <v/>
      </c>
      <c r="N141" s="107">
        <f>IF(I141=0,0,J141/I141)</f>
        <v/>
      </c>
      <c r="O141" s="108">
        <f>IF(L141&gt;=0,"Under","Over")</f>
        <v/>
      </c>
      <c r="P141" s="69">
        <f>IF(M141&lt;-0.05,"Watch","On Track")</f>
        <v/>
      </c>
    </row>
    <row r="142" ht="16" customHeight="1">
      <c r="A142" s="98" t="inlineStr">
        <is>
          <t>CC-00141</t>
        </is>
      </c>
      <c r="B142" s="99" t="inlineStr">
        <is>
          <t>EVT-2025-013</t>
        </is>
      </c>
      <c r="C142" s="100" t="inlineStr">
        <is>
          <t>Thrombovex KOL Meeting Berlin Sep 2025</t>
        </is>
      </c>
      <c r="D142" s="100" t="inlineStr">
        <is>
          <t>Hematology</t>
        </is>
      </c>
      <c r="E142" s="100" t="inlineStr">
        <is>
          <t>BU Oncology</t>
        </is>
      </c>
      <c r="F142" s="99" t="inlineStr">
        <is>
          <t>Translation</t>
        </is>
      </c>
      <c r="G142" s="99" t="inlineStr">
        <is>
          <t>Sep-2025</t>
        </is>
      </c>
      <c r="H142" s="99" t="inlineStr">
        <is>
          <t>Q3 2025</t>
        </is>
      </c>
      <c r="I142" s="101" t="n">
        <v>13628.36</v>
      </c>
      <c r="J142" s="101" t="n">
        <v>12950.49</v>
      </c>
      <c r="K142" s="101" t="n">
        <v>0</v>
      </c>
      <c r="L142" s="165">
        <f>I142-J142</f>
        <v/>
      </c>
      <c r="M142" s="166">
        <f>IF(I142=0,0,ROUND((I142-J142)/I142,4))</f>
        <v/>
      </c>
      <c r="N142" s="104">
        <f>IF(I142=0,0,J142/I142)</f>
        <v/>
      </c>
      <c r="O142" s="105">
        <f>IF(L142&gt;=0,"Under","Over")</f>
        <v/>
      </c>
      <c r="P142" s="69">
        <f>IF(M142&lt;-0.05,"Watch","On Track")</f>
        <v/>
      </c>
    </row>
    <row r="143" ht="16" customHeight="1">
      <c r="A143" s="106" t="inlineStr">
        <is>
          <t>CC-00142</t>
        </is>
      </c>
      <c r="B143" s="71" t="inlineStr">
        <is>
          <t>EVT-2025-013</t>
        </is>
      </c>
      <c r="C143" s="70" t="inlineStr">
        <is>
          <t>Thrombovex KOL Meeting Berlin Sep 2025</t>
        </is>
      </c>
      <c r="D143" s="70" t="inlineStr">
        <is>
          <t>Hematology</t>
        </is>
      </c>
      <c r="E143" s="70" t="inlineStr">
        <is>
          <t>BU Oncology</t>
        </is>
      </c>
      <c r="F143" s="71" t="inlineStr">
        <is>
          <t>Print &amp; Production</t>
        </is>
      </c>
      <c r="G143" s="71" t="inlineStr">
        <is>
          <t>Sep-2025</t>
        </is>
      </c>
      <c r="H143" s="71" t="inlineStr">
        <is>
          <t>Q3 2025</t>
        </is>
      </c>
      <c r="I143" s="73" t="n">
        <v>9085.57</v>
      </c>
      <c r="J143" s="73" t="n">
        <v>6318.03</v>
      </c>
      <c r="K143" s="73" t="n">
        <v>0</v>
      </c>
      <c r="L143" s="163">
        <f>I143-J143</f>
        <v/>
      </c>
      <c r="M143" s="161">
        <f>IF(I143=0,0,ROUND((I143-J143)/I143,4))</f>
        <v/>
      </c>
      <c r="N143" s="107">
        <f>IF(I143=0,0,J143/I143)</f>
        <v/>
      </c>
      <c r="O143" s="108">
        <f>IF(L143&gt;=0,"Under","Over")</f>
        <v/>
      </c>
      <c r="P143" s="69">
        <f>IF(M143&lt;-0.05,"Watch","On Track")</f>
        <v/>
      </c>
    </row>
    <row r="144" ht="16" customHeight="1">
      <c r="A144" s="98" t="inlineStr">
        <is>
          <t>CC-00143</t>
        </is>
      </c>
      <c r="B144" s="99" t="inlineStr">
        <is>
          <t>EVT-2025-013</t>
        </is>
      </c>
      <c r="C144" s="100" t="inlineStr">
        <is>
          <t>Thrombovex KOL Meeting Berlin Sep 2025</t>
        </is>
      </c>
      <c r="D144" s="100" t="inlineStr">
        <is>
          <t>Hematology</t>
        </is>
      </c>
      <c r="E144" s="100" t="inlineStr">
        <is>
          <t>BU Oncology</t>
        </is>
      </c>
      <c r="F144" s="99" t="inlineStr">
        <is>
          <t>Miscellaneous</t>
        </is>
      </c>
      <c r="G144" s="99" t="inlineStr">
        <is>
          <t>Sep-2025</t>
        </is>
      </c>
      <c r="H144" s="99" t="inlineStr">
        <is>
          <t>Q3 2025</t>
        </is>
      </c>
      <c r="I144" s="101" t="n">
        <v>9085.57</v>
      </c>
      <c r="J144" s="101" t="n">
        <v>7454.89</v>
      </c>
      <c r="K144" s="101" t="n">
        <v>0</v>
      </c>
      <c r="L144" s="165">
        <f>I144-J144</f>
        <v/>
      </c>
      <c r="M144" s="166">
        <f>IF(I144=0,0,ROUND((I144-J144)/I144,4))</f>
        <v/>
      </c>
      <c r="N144" s="104">
        <f>IF(I144=0,0,J144/I144)</f>
        <v/>
      </c>
      <c r="O144" s="105">
        <f>IF(L144&gt;=0,"Under","Over")</f>
        <v/>
      </c>
      <c r="P144" s="69">
        <f>IF(M144&lt;-0.05,"Watch","On Track")</f>
        <v/>
      </c>
    </row>
    <row r="145" ht="16" customHeight="1">
      <c r="A145" s="106" t="inlineStr">
        <is>
          <t>CC-00144</t>
        </is>
      </c>
      <c r="B145" s="71" t="inlineStr">
        <is>
          <t>EVT-2025-014</t>
        </is>
      </c>
      <c r="C145" s="70" t="inlineStr">
        <is>
          <t>Cognivex Speaker Program Athens Nov 2025</t>
        </is>
      </c>
      <c r="D145" s="70" t="inlineStr">
        <is>
          <t>Neurology</t>
        </is>
      </c>
      <c r="E145" s="70" t="inlineStr">
        <is>
          <t>BU Neuroscience</t>
        </is>
      </c>
      <c r="F145" s="71" t="inlineStr">
        <is>
          <t>Airfare</t>
        </is>
      </c>
      <c r="G145" s="71" t="inlineStr">
        <is>
          <t>Nov-2025</t>
        </is>
      </c>
      <c r="H145" s="71" t="inlineStr">
        <is>
          <t>Q4 2025</t>
        </is>
      </c>
      <c r="I145" s="73" t="n">
        <v>48053.76</v>
      </c>
      <c r="J145" s="73" t="n">
        <v>38894.24</v>
      </c>
      <c r="K145" s="73" t="n">
        <v>32044.5</v>
      </c>
      <c r="L145" s="163">
        <f>I145-J145</f>
        <v/>
      </c>
      <c r="M145" s="161">
        <f>IF(I145=0,0,ROUND((I145-J145)/I145,4))</f>
        <v/>
      </c>
      <c r="N145" s="107">
        <f>IF(I145=0,0,J145/I145)</f>
        <v/>
      </c>
      <c r="O145" s="108">
        <f>IF(L145&gt;=0,"Under","Over")</f>
        <v/>
      </c>
      <c r="P145" s="69">
        <f>IF(M145&lt;-0.05,"Watch","On Track")</f>
        <v/>
      </c>
    </row>
    <row r="146" ht="16" customHeight="1">
      <c r="A146" s="98" t="inlineStr">
        <is>
          <t>CC-00145</t>
        </is>
      </c>
      <c r="B146" s="99" t="inlineStr">
        <is>
          <t>EVT-2025-014</t>
        </is>
      </c>
      <c r="C146" s="100" t="inlineStr">
        <is>
          <t>Cognivex Speaker Program Athens Nov 2025</t>
        </is>
      </c>
      <c r="D146" s="100" t="inlineStr">
        <is>
          <t>Neurology</t>
        </is>
      </c>
      <c r="E146" s="100" t="inlineStr">
        <is>
          <t>BU Neuroscience</t>
        </is>
      </c>
      <c r="F146" s="99" t="inlineStr">
        <is>
          <t>Hotel</t>
        </is>
      </c>
      <c r="G146" s="99" t="inlineStr">
        <is>
          <t>Nov-2025</t>
        </is>
      </c>
      <c r="H146" s="99" t="inlineStr">
        <is>
          <t>Q4 2025</t>
        </is>
      </c>
      <c r="I146" s="101" t="n">
        <v>86496.77</v>
      </c>
      <c r="J146" s="101" t="n">
        <v>60716.05</v>
      </c>
      <c r="K146" s="101" t="n">
        <v>51641.78</v>
      </c>
      <c r="L146" s="165">
        <f>I146-J146</f>
        <v/>
      </c>
      <c r="M146" s="166">
        <f>IF(I146=0,0,ROUND((I146-J146)/I146,4))</f>
        <v/>
      </c>
      <c r="N146" s="104">
        <f>IF(I146=0,0,J146/I146)</f>
        <v/>
      </c>
      <c r="O146" s="105">
        <f>IF(L146&gt;=0,"Under","Over")</f>
        <v/>
      </c>
      <c r="P146" s="69">
        <f>IF(M146&lt;-0.05,"Watch","On Track")</f>
        <v/>
      </c>
    </row>
    <row r="147" ht="16" customHeight="1">
      <c r="A147" s="106" t="inlineStr">
        <is>
          <t>CC-00146</t>
        </is>
      </c>
      <c r="B147" s="71" t="inlineStr">
        <is>
          <t>EVT-2025-014</t>
        </is>
      </c>
      <c r="C147" s="70" t="inlineStr">
        <is>
          <t>Cognivex Speaker Program Athens Nov 2025</t>
        </is>
      </c>
      <c r="D147" s="70" t="inlineStr">
        <is>
          <t>Neurology</t>
        </is>
      </c>
      <c r="E147" s="70" t="inlineStr">
        <is>
          <t>BU Neuroscience</t>
        </is>
      </c>
      <c r="F147" s="71" t="inlineStr">
        <is>
          <t>Venue</t>
        </is>
      </c>
      <c r="G147" s="71" t="inlineStr">
        <is>
          <t>Nov-2025</t>
        </is>
      </c>
      <c r="H147" s="71" t="inlineStr">
        <is>
          <t>Q4 2025</t>
        </is>
      </c>
      <c r="I147" s="73" t="n">
        <v>72080.64</v>
      </c>
      <c r="J147" s="73" t="n">
        <v>65286.25</v>
      </c>
      <c r="K147" s="73" t="n">
        <v>54937.18</v>
      </c>
      <c r="L147" s="163">
        <f>I147-J147</f>
        <v/>
      </c>
      <c r="M147" s="161">
        <f>IF(I147=0,0,ROUND((I147-J147)/I147,4))</f>
        <v/>
      </c>
      <c r="N147" s="107">
        <f>IF(I147=0,0,J147/I147)</f>
        <v/>
      </c>
      <c r="O147" s="108">
        <f>IF(L147&gt;=0,"Under","Over")</f>
        <v/>
      </c>
      <c r="P147" s="69">
        <f>IF(M147&lt;-0.05,"Watch","On Track")</f>
        <v/>
      </c>
    </row>
    <row r="148" ht="16" customHeight="1">
      <c r="A148" s="98" t="inlineStr">
        <is>
          <t>CC-00147</t>
        </is>
      </c>
      <c r="B148" s="99" t="inlineStr">
        <is>
          <t>EVT-2025-014</t>
        </is>
      </c>
      <c r="C148" s="100" t="inlineStr">
        <is>
          <t>Cognivex Speaker Program Athens Nov 2025</t>
        </is>
      </c>
      <c r="D148" s="100" t="inlineStr">
        <is>
          <t>Neurology</t>
        </is>
      </c>
      <c r="E148" s="100" t="inlineStr">
        <is>
          <t>BU Neuroscience</t>
        </is>
      </c>
      <c r="F148" s="99" t="inlineStr">
        <is>
          <t>F&amp;B</t>
        </is>
      </c>
      <c r="G148" s="99" t="inlineStr">
        <is>
          <t>Nov-2025</t>
        </is>
      </c>
      <c r="H148" s="99" t="inlineStr">
        <is>
          <t>Q4 2025</t>
        </is>
      </c>
      <c r="I148" s="101" t="n">
        <v>57664.51</v>
      </c>
      <c r="J148" s="101" t="n">
        <v>59059.33</v>
      </c>
      <c r="K148" s="101" t="n">
        <v>54229.5</v>
      </c>
      <c r="L148" s="167">
        <f>I148-J148</f>
        <v/>
      </c>
      <c r="M148" s="166">
        <f>IF(I148=0,0,ROUND((I148-J148)/I148,4))</f>
        <v/>
      </c>
      <c r="N148" s="104">
        <f>IF(I148=0,0,J148/I148)</f>
        <v/>
      </c>
      <c r="O148" s="111">
        <f>IF(L148&gt;=0,"Under","Over")</f>
        <v/>
      </c>
      <c r="P148" s="69">
        <f>IF(M148&lt;-0.05,"Watch","On Track")</f>
        <v/>
      </c>
    </row>
    <row r="149" ht="16" customHeight="1">
      <c r="A149" s="106" t="inlineStr">
        <is>
          <t>CC-00148</t>
        </is>
      </c>
      <c r="B149" s="71" t="inlineStr">
        <is>
          <t>EVT-2025-014</t>
        </is>
      </c>
      <c r="C149" s="70" t="inlineStr">
        <is>
          <t>Cognivex Speaker Program Athens Nov 2025</t>
        </is>
      </c>
      <c r="D149" s="70" t="inlineStr">
        <is>
          <t>Neurology</t>
        </is>
      </c>
      <c r="E149" s="70" t="inlineStr">
        <is>
          <t>BU Neuroscience</t>
        </is>
      </c>
      <c r="F149" s="71" t="inlineStr">
        <is>
          <t>Logistics</t>
        </is>
      </c>
      <c r="G149" s="71" t="inlineStr">
        <is>
          <t>Nov-2025</t>
        </is>
      </c>
      <c r="H149" s="71" t="inlineStr">
        <is>
          <t>Q4 2025</t>
        </is>
      </c>
      <c r="I149" s="73" t="n">
        <v>28832.26</v>
      </c>
      <c r="J149" s="73" t="n">
        <v>27473.9</v>
      </c>
      <c r="K149" s="73" t="n">
        <v>23506.81</v>
      </c>
      <c r="L149" s="163">
        <f>I149-J149</f>
        <v/>
      </c>
      <c r="M149" s="161">
        <f>IF(I149=0,0,ROUND((I149-J149)/I149,4))</f>
        <v/>
      </c>
      <c r="N149" s="107">
        <f>IF(I149=0,0,J149/I149)</f>
        <v/>
      </c>
      <c r="O149" s="108">
        <f>IF(L149&gt;=0,"Under","Over")</f>
        <v/>
      </c>
      <c r="P149" s="69">
        <f>IF(M149&lt;-0.05,"Watch","On Track")</f>
        <v/>
      </c>
    </row>
    <row r="150" ht="16" customHeight="1">
      <c r="A150" s="98" t="inlineStr">
        <is>
          <t>CC-00149</t>
        </is>
      </c>
      <c r="B150" s="99" t="inlineStr">
        <is>
          <t>EVT-2025-014</t>
        </is>
      </c>
      <c r="C150" s="100" t="inlineStr">
        <is>
          <t>Cognivex Speaker Program Athens Nov 2025</t>
        </is>
      </c>
      <c r="D150" s="100" t="inlineStr">
        <is>
          <t>Neurology</t>
        </is>
      </c>
      <c r="E150" s="100" t="inlineStr">
        <is>
          <t>BU Neuroscience</t>
        </is>
      </c>
      <c r="F150" s="99" t="inlineStr">
        <is>
          <t>AV &amp; Technology</t>
        </is>
      </c>
      <c r="G150" s="99" t="inlineStr">
        <is>
          <t>Nov-2025</t>
        </is>
      </c>
      <c r="H150" s="99" t="inlineStr">
        <is>
          <t>Q4 2025</t>
        </is>
      </c>
      <c r="I150" s="101" t="n">
        <v>38443.01</v>
      </c>
      <c r="J150" s="101" t="n">
        <v>33846.89</v>
      </c>
      <c r="K150" s="101" t="n">
        <v>33827.83</v>
      </c>
      <c r="L150" s="165">
        <f>I150-J150</f>
        <v/>
      </c>
      <c r="M150" s="166">
        <f>IF(I150=0,0,ROUND((I150-J150)/I150,4))</f>
        <v/>
      </c>
      <c r="N150" s="104">
        <f>IF(I150=0,0,J150/I150)</f>
        <v/>
      </c>
      <c r="O150" s="105">
        <f>IF(L150&gt;=0,"Under","Over")</f>
        <v/>
      </c>
      <c r="P150" s="69">
        <f>IF(M150&lt;-0.05,"Watch","On Track")</f>
        <v/>
      </c>
    </row>
    <row r="151" ht="16" customHeight="1">
      <c r="A151" s="106" t="inlineStr">
        <is>
          <t>CC-00150</t>
        </is>
      </c>
      <c r="B151" s="71" t="inlineStr">
        <is>
          <t>EVT-2025-014</t>
        </is>
      </c>
      <c r="C151" s="70" t="inlineStr">
        <is>
          <t>Cognivex Speaker Program Athens Nov 2025</t>
        </is>
      </c>
      <c r="D151" s="70" t="inlineStr">
        <is>
          <t>Neurology</t>
        </is>
      </c>
      <c r="E151" s="70" t="inlineStr">
        <is>
          <t>BU Neuroscience</t>
        </is>
      </c>
      <c r="F151" s="71" t="inlineStr">
        <is>
          <t>Agency Fees</t>
        </is>
      </c>
      <c r="G151" s="71" t="inlineStr">
        <is>
          <t>Nov-2025</t>
        </is>
      </c>
      <c r="H151" s="71" t="inlineStr">
        <is>
          <t>Q4 2025</t>
        </is>
      </c>
      <c r="I151" s="73" t="n">
        <v>67275.25999999999</v>
      </c>
      <c r="J151" s="73" t="n">
        <v>56456.42</v>
      </c>
      <c r="K151" s="73" t="n">
        <v>45901.75</v>
      </c>
      <c r="L151" s="163">
        <f>I151-J151</f>
        <v/>
      </c>
      <c r="M151" s="161">
        <f>IF(I151=0,0,ROUND((I151-J151)/I151,4))</f>
        <v/>
      </c>
      <c r="N151" s="107">
        <f>IF(I151=0,0,J151/I151)</f>
        <v/>
      </c>
      <c r="O151" s="108">
        <f>IF(L151&gt;=0,"Under","Over")</f>
        <v/>
      </c>
      <c r="P151" s="69">
        <f>IF(M151&lt;-0.05,"Watch","On Track")</f>
        <v/>
      </c>
    </row>
    <row r="152" ht="16" customHeight="1">
      <c r="A152" s="98" t="inlineStr">
        <is>
          <t>CC-00151</t>
        </is>
      </c>
      <c r="B152" s="99" t="inlineStr">
        <is>
          <t>EVT-2025-014</t>
        </is>
      </c>
      <c r="C152" s="100" t="inlineStr">
        <is>
          <t>Cognivex Speaker Program Athens Nov 2025</t>
        </is>
      </c>
      <c r="D152" s="100" t="inlineStr">
        <is>
          <t>Neurology</t>
        </is>
      </c>
      <c r="E152" s="100" t="inlineStr">
        <is>
          <t>BU Neuroscience</t>
        </is>
      </c>
      <c r="F152" s="99" t="inlineStr">
        <is>
          <t>Speaker Fees</t>
        </is>
      </c>
      <c r="G152" s="99" t="inlineStr">
        <is>
          <t>Nov-2025</t>
        </is>
      </c>
      <c r="H152" s="99" t="inlineStr">
        <is>
          <t>Q4 2025</t>
        </is>
      </c>
      <c r="I152" s="101" t="n">
        <v>48053.76</v>
      </c>
      <c r="J152" s="101" t="n">
        <v>51818.42</v>
      </c>
      <c r="K152" s="101" t="n">
        <v>43418.61</v>
      </c>
      <c r="L152" s="167">
        <f>I152-J152</f>
        <v/>
      </c>
      <c r="M152" s="168">
        <f>IF(I152=0,0,ROUND((I152-J152)/I152,4))</f>
        <v/>
      </c>
      <c r="N152" s="104">
        <f>IF(I152=0,0,J152/I152)</f>
        <v/>
      </c>
      <c r="O152" s="111">
        <f>IF(L152&gt;=0,"Under","Over")</f>
        <v/>
      </c>
      <c r="P152" s="76">
        <f>IF(M152&lt;-0.05,"Watch","On Track")</f>
        <v/>
      </c>
    </row>
    <row r="153" ht="16" customHeight="1">
      <c r="A153" s="106" t="inlineStr">
        <is>
          <t>CC-00152</t>
        </is>
      </c>
      <c r="B153" s="71" t="inlineStr">
        <is>
          <t>EVT-2025-014</t>
        </is>
      </c>
      <c r="C153" s="70" t="inlineStr">
        <is>
          <t>Cognivex Speaker Program Athens Nov 2025</t>
        </is>
      </c>
      <c r="D153" s="70" t="inlineStr">
        <is>
          <t>Neurology</t>
        </is>
      </c>
      <c r="E153" s="70" t="inlineStr">
        <is>
          <t>BU Neuroscience</t>
        </is>
      </c>
      <c r="F153" s="71" t="inlineStr">
        <is>
          <t>Translation</t>
        </is>
      </c>
      <c r="G153" s="71" t="inlineStr">
        <is>
          <t>Nov-2025</t>
        </is>
      </c>
      <c r="H153" s="71" t="inlineStr">
        <is>
          <t>Q4 2025</t>
        </is>
      </c>
      <c r="I153" s="73" t="n">
        <v>14416.13</v>
      </c>
      <c r="J153" s="73" t="n">
        <v>12492.49</v>
      </c>
      <c r="K153" s="73" t="n">
        <v>10792.04</v>
      </c>
      <c r="L153" s="163">
        <f>I153-J153</f>
        <v/>
      </c>
      <c r="M153" s="161">
        <f>IF(I153=0,0,ROUND((I153-J153)/I153,4))</f>
        <v/>
      </c>
      <c r="N153" s="107">
        <f>IF(I153=0,0,J153/I153)</f>
        <v/>
      </c>
      <c r="O153" s="108">
        <f>IF(L153&gt;=0,"Under","Over")</f>
        <v/>
      </c>
      <c r="P153" s="69">
        <f>IF(M153&lt;-0.05,"Watch","On Track")</f>
        <v/>
      </c>
    </row>
    <row r="154" ht="16" customHeight="1">
      <c r="A154" s="98" t="inlineStr">
        <is>
          <t>CC-00153</t>
        </is>
      </c>
      <c r="B154" s="99" t="inlineStr">
        <is>
          <t>EVT-2025-014</t>
        </is>
      </c>
      <c r="C154" s="100" t="inlineStr">
        <is>
          <t>Cognivex Speaker Program Athens Nov 2025</t>
        </is>
      </c>
      <c r="D154" s="100" t="inlineStr">
        <is>
          <t>Neurology</t>
        </is>
      </c>
      <c r="E154" s="100" t="inlineStr">
        <is>
          <t>BU Neuroscience</t>
        </is>
      </c>
      <c r="F154" s="99" t="inlineStr">
        <is>
          <t>Print &amp; Production</t>
        </is>
      </c>
      <c r="G154" s="99" t="inlineStr">
        <is>
          <t>Nov-2025</t>
        </is>
      </c>
      <c r="H154" s="99" t="inlineStr">
        <is>
          <t>Q4 2025</t>
        </is>
      </c>
      <c r="I154" s="101" t="n">
        <v>9610.75</v>
      </c>
      <c r="J154" s="101" t="n">
        <v>9014.25</v>
      </c>
      <c r="K154" s="101" t="n">
        <v>8656.35</v>
      </c>
      <c r="L154" s="165">
        <f>I154-J154</f>
        <v/>
      </c>
      <c r="M154" s="166">
        <f>IF(I154=0,0,ROUND((I154-J154)/I154,4))</f>
        <v/>
      </c>
      <c r="N154" s="104">
        <f>IF(I154=0,0,J154/I154)</f>
        <v/>
      </c>
      <c r="O154" s="105">
        <f>IF(L154&gt;=0,"Under","Over")</f>
        <v/>
      </c>
      <c r="P154" s="69">
        <f>IF(M154&lt;-0.05,"Watch","On Track")</f>
        <v/>
      </c>
    </row>
    <row r="155" ht="16" customHeight="1">
      <c r="A155" s="106" t="inlineStr">
        <is>
          <t>CC-00154</t>
        </is>
      </c>
      <c r="B155" s="71" t="inlineStr">
        <is>
          <t>EVT-2025-014</t>
        </is>
      </c>
      <c r="C155" s="70" t="inlineStr">
        <is>
          <t>Cognivex Speaker Program Athens Nov 2025</t>
        </is>
      </c>
      <c r="D155" s="70" t="inlineStr">
        <is>
          <t>Neurology</t>
        </is>
      </c>
      <c r="E155" s="70" t="inlineStr">
        <is>
          <t>BU Neuroscience</t>
        </is>
      </c>
      <c r="F155" s="71" t="inlineStr">
        <is>
          <t>Miscellaneous</t>
        </is>
      </c>
      <c r="G155" s="71" t="inlineStr">
        <is>
          <t>Nov-2025</t>
        </is>
      </c>
      <c r="H155" s="71" t="inlineStr">
        <is>
          <t>Q4 2025</t>
        </is>
      </c>
      <c r="I155" s="73" t="n">
        <v>9610.75</v>
      </c>
      <c r="J155" s="73" t="n">
        <v>9037.690000000001</v>
      </c>
      <c r="K155" s="73" t="n">
        <v>8505.33</v>
      </c>
      <c r="L155" s="163">
        <f>I155-J155</f>
        <v/>
      </c>
      <c r="M155" s="161">
        <f>IF(I155=0,0,ROUND((I155-J155)/I155,4))</f>
        <v/>
      </c>
      <c r="N155" s="107">
        <f>IF(I155=0,0,J155/I155)</f>
        <v/>
      </c>
      <c r="O155" s="108">
        <f>IF(L155&gt;=0,"Under","Over")</f>
        <v/>
      </c>
      <c r="P155" s="69">
        <f>IF(M155&lt;-0.05,"Watch","On Track")</f>
        <v/>
      </c>
    </row>
    <row r="156" ht="16" customHeight="1">
      <c r="A156" s="98" t="inlineStr">
        <is>
          <t>CC-00155</t>
        </is>
      </c>
      <c r="B156" s="99" t="inlineStr">
        <is>
          <t>EVT-2025-015</t>
        </is>
      </c>
      <c r="C156" s="100" t="inlineStr">
        <is>
          <t>Orphavex Congress Paris Dec 2025</t>
        </is>
      </c>
      <c r="D156" s="100" t="inlineStr">
        <is>
          <t>Rare Diseases</t>
        </is>
      </c>
      <c r="E156" s="100" t="inlineStr">
        <is>
          <t>BU Rare Diseases</t>
        </is>
      </c>
      <c r="F156" s="99" t="inlineStr">
        <is>
          <t>Airfare</t>
        </is>
      </c>
      <c r="G156" s="99" t="inlineStr">
        <is>
          <t>Dec-2025</t>
        </is>
      </c>
      <c r="H156" s="99" t="inlineStr">
        <is>
          <t>Q4 2025</t>
        </is>
      </c>
      <c r="I156" s="101" t="n">
        <v>16931.99</v>
      </c>
      <c r="J156" s="101" t="n">
        <v>12397.28</v>
      </c>
      <c r="K156" s="101" t="n">
        <v>10478.85</v>
      </c>
      <c r="L156" s="165">
        <f>I156-J156</f>
        <v/>
      </c>
      <c r="M156" s="166">
        <f>IF(I156=0,0,ROUND((I156-J156)/I156,4))</f>
        <v/>
      </c>
      <c r="N156" s="104">
        <f>IF(I156=0,0,J156/I156)</f>
        <v/>
      </c>
      <c r="O156" s="105">
        <f>IF(L156&gt;=0,"Under","Over")</f>
        <v/>
      </c>
      <c r="P156" s="69">
        <f>IF(M156&lt;-0.05,"Watch","On Track")</f>
        <v/>
      </c>
    </row>
    <row r="157" ht="16" customHeight="1">
      <c r="A157" s="106" t="inlineStr">
        <is>
          <t>CC-00156</t>
        </is>
      </c>
      <c r="B157" s="71" t="inlineStr">
        <is>
          <t>EVT-2025-015</t>
        </is>
      </c>
      <c r="C157" s="70" t="inlineStr">
        <is>
          <t>Orphavex Congress Paris Dec 2025</t>
        </is>
      </c>
      <c r="D157" s="70" t="inlineStr">
        <is>
          <t>Rare Diseases</t>
        </is>
      </c>
      <c r="E157" s="70" t="inlineStr">
        <is>
          <t>BU Rare Diseases</t>
        </is>
      </c>
      <c r="F157" s="71" t="inlineStr">
        <is>
          <t>Hotel</t>
        </is>
      </c>
      <c r="G157" s="71" t="inlineStr">
        <is>
          <t>Dec-2025</t>
        </is>
      </c>
      <c r="H157" s="71" t="inlineStr">
        <is>
          <t>Q4 2025</t>
        </is>
      </c>
      <c r="I157" s="73" t="n">
        <v>30477.59</v>
      </c>
      <c r="J157" s="73" t="n">
        <v>32875.22</v>
      </c>
      <c r="K157" s="73" t="n">
        <v>25764.37</v>
      </c>
      <c r="L157" s="158">
        <f>I157-J157</f>
        <v/>
      </c>
      <c r="M157" s="159">
        <f>IF(I157=0,0,ROUND((I157-J157)/I157,4))</f>
        <v/>
      </c>
      <c r="N157" s="107">
        <f>IF(I157=0,0,J157/I157)</f>
        <v/>
      </c>
      <c r="O157" s="112">
        <f>IF(L157&gt;=0,"Under","Over")</f>
        <v/>
      </c>
      <c r="P157" s="76">
        <f>IF(M157&lt;-0.05,"Watch","On Track")</f>
        <v/>
      </c>
    </row>
    <row r="158" ht="16" customHeight="1">
      <c r="A158" s="98" t="inlineStr">
        <is>
          <t>CC-00157</t>
        </is>
      </c>
      <c r="B158" s="99" t="inlineStr">
        <is>
          <t>EVT-2025-015</t>
        </is>
      </c>
      <c r="C158" s="100" t="inlineStr">
        <is>
          <t>Orphavex Congress Paris Dec 2025</t>
        </is>
      </c>
      <c r="D158" s="100" t="inlineStr">
        <is>
          <t>Rare Diseases</t>
        </is>
      </c>
      <c r="E158" s="100" t="inlineStr">
        <is>
          <t>BU Rare Diseases</t>
        </is>
      </c>
      <c r="F158" s="99" t="inlineStr">
        <is>
          <t>Venue</t>
        </is>
      </c>
      <c r="G158" s="99" t="inlineStr">
        <is>
          <t>Dec-2025</t>
        </is>
      </c>
      <c r="H158" s="99" t="inlineStr">
        <is>
          <t>Q4 2025</t>
        </is>
      </c>
      <c r="I158" s="101" t="n">
        <v>25397.99</v>
      </c>
      <c r="J158" s="101" t="n">
        <v>19029.43</v>
      </c>
      <c r="K158" s="101" t="n">
        <v>18695.38</v>
      </c>
      <c r="L158" s="165">
        <f>I158-J158</f>
        <v/>
      </c>
      <c r="M158" s="166">
        <f>IF(I158=0,0,ROUND((I158-J158)/I158,4))</f>
        <v/>
      </c>
      <c r="N158" s="104">
        <f>IF(I158=0,0,J158/I158)</f>
        <v/>
      </c>
      <c r="O158" s="105">
        <f>IF(L158&gt;=0,"Under","Over")</f>
        <v/>
      </c>
      <c r="P158" s="69">
        <f>IF(M158&lt;-0.05,"Watch","On Track")</f>
        <v/>
      </c>
    </row>
    <row r="159" ht="16" customHeight="1">
      <c r="A159" s="106" t="inlineStr">
        <is>
          <t>CC-00158</t>
        </is>
      </c>
      <c r="B159" s="71" t="inlineStr">
        <is>
          <t>EVT-2025-015</t>
        </is>
      </c>
      <c r="C159" s="70" t="inlineStr">
        <is>
          <t>Orphavex Congress Paris Dec 2025</t>
        </is>
      </c>
      <c r="D159" s="70" t="inlineStr">
        <is>
          <t>Rare Diseases</t>
        </is>
      </c>
      <c r="E159" s="70" t="inlineStr">
        <is>
          <t>BU Rare Diseases</t>
        </is>
      </c>
      <c r="F159" s="71" t="inlineStr">
        <is>
          <t>F&amp;B</t>
        </is>
      </c>
      <c r="G159" s="71" t="inlineStr">
        <is>
          <t>Dec-2025</t>
        </is>
      </c>
      <c r="H159" s="71" t="inlineStr">
        <is>
          <t>Q4 2025</t>
        </is>
      </c>
      <c r="I159" s="73" t="n">
        <v>20318.39</v>
      </c>
      <c r="J159" s="73" t="n">
        <v>22170.01</v>
      </c>
      <c r="K159" s="73" t="n">
        <v>20648.09</v>
      </c>
      <c r="L159" s="158">
        <f>I159-J159</f>
        <v/>
      </c>
      <c r="M159" s="159">
        <f>IF(I159=0,0,ROUND((I159-J159)/I159,4))</f>
        <v/>
      </c>
      <c r="N159" s="107">
        <f>IF(I159=0,0,J159/I159)</f>
        <v/>
      </c>
      <c r="O159" s="112">
        <f>IF(L159&gt;=0,"Under","Over")</f>
        <v/>
      </c>
      <c r="P159" s="76">
        <f>IF(M159&lt;-0.05,"Watch","On Track")</f>
        <v/>
      </c>
    </row>
    <row r="160" ht="16" customHeight="1">
      <c r="A160" s="98" t="inlineStr">
        <is>
          <t>CC-00159</t>
        </is>
      </c>
      <c r="B160" s="99" t="inlineStr">
        <is>
          <t>EVT-2025-015</t>
        </is>
      </c>
      <c r="C160" s="100" t="inlineStr">
        <is>
          <t>Orphavex Congress Paris Dec 2025</t>
        </is>
      </c>
      <c r="D160" s="100" t="inlineStr">
        <is>
          <t>Rare Diseases</t>
        </is>
      </c>
      <c r="E160" s="100" t="inlineStr">
        <is>
          <t>BU Rare Diseases</t>
        </is>
      </c>
      <c r="F160" s="99" t="inlineStr">
        <is>
          <t>Logistics</t>
        </is>
      </c>
      <c r="G160" s="99" t="inlineStr">
        <is>
          <t>Dec-2025</t>
        </is>
      </c>
      <c r="H160" s="99" t="inlineStr">
        <is>
          <t>Q4 2025</t>
        </is>
      </c>
      <c r="I160" s="101" t="n">
        <v>10159.2</v>
      </c>
      <c r="J160" s="101" t="n">
        <v>9676.129999999999</v>
      </c>
      <c r="K160" s="101" t="n">
        <v>8776.950000000001</v>
      </c>
      <c r="L160" s="165">
        <f>I160-J160</f>
        <v/>
      </c>
      <c r="M160" s="166">
        <f>IF(I160=0,0,ROUND((I160-J160)/I160,4))</f>
        <v/>
      </c>
      <c r="N160" s="104">
        <f>IF(I160=0,0,J160/I160)</f>
        <v/>
      </c>
      <c r="O160" s="105">
        <f>IF(L160&gt;=0,"Under","Over")</f>
        <v/>
      </c>
      <c r="P160" s="69">
        <f>IF(M160&lt;-0.05,"Watch","On Track")</f>
        <v/>
      </c>
    </row>
    <row r="161" ht="16" customHeight="1">
      <c r="A161" s="106" t="inlineStr">
        <is>
          <t>CC-00160</t>
        </is>
      </c>
      <c r="B161" s="71" t="inlineStr">
        <is>
          <t>EVT-2025-015</t>
        </is>
      </c>
      <c r="C161" s="70" t="inlineStr">
        <is>
          <t>Orphavex Congress Paris Dec 2025</t>
        </is>
      </c>
      <c r="D161" s="70" t="inlineStr">
        <is>
          <t>Rare Diseases</t>
        </is>
      </c>
      <c r="E161" s="70" t="inlineStr">
        <is>
          <t>BU Rare Diseases</t>
        </is>
      </c>
      <c r="F161" s="71" t="inlineStr">
        <is>
          <t>AV &amp; Technology</t>
        </is>
      </c>
      <c r="G161" s="71" t="inlineStr">
        <is>
          <t>Dec-2025</t>
        </is>
      </c>
      <c r="H161" s="71" t="inlineStr">
        <is>
          <t>Q4 2025</t>
        </is>
      </c>
      <c r="I161" s="73" t="n">
        <v>13545.59</v>
      </c>
      <c r="J161" s="73" t="n">
        <v>11439.27</v>
      </c>
      <c r="K161" s="73" t="n">
        <v>9654.07</v>
      </c>
      <c r="L161" s="163">
        <f>I161-J161</f>
        <v/>
      </c>
      <c r="M161" s="161">
        <f>IF(I161=0,0,ROUND((I161-J161)/I161,4))</f>
        <v/>
      </c>
      <c r="N161" s="107">
        <f>IF(I161=0,0,J161/I161)</f>
        <v/>
      </c>
      <c r="O161" s="108">
        <f>IF(L161&gt;=0,"Under","Over")</f>
        <v/>
      </c>
      <c r="P161" s="69">
        <f>IF(M161&lt;-0.05,"Watch","On Track")</f>
        <v/>
      </c>
    </row>
    <row r="162" ht="16" customHeight="1">
      <c r="A162" s="98" t="inlineStr">
        <is>
          <t>CC-00161</t>
        </is>
      </c>
      <c r="B162" s="99" t="inlineStr">
        <is>
          <t>EVT-2025-015</t>
        </is>
      </c>
      <c r="C162" s="100" t="inlineStr">
        <is>
          <t>Orphavex Congress Paris Dec 2025</t>
        </is>
      </c>
      <c r="D162" s="100" t="inlineStr">
        <is>
          <t>Rare Diseases</t>
        </is>
      </c>
      <c r="E162" s="100" t="inlineStr">
        <is>
          <t>BU Rare Diseases</t>
        </is>
      </c>
      <c r="F162" s="99" t="inlineStr">
        <is>
          <t>Agency Fees</t>
        </is>
      </c>
      <c r="G162" s="99" t="inlineStr">
        <is>
          <t>Dec-2025</t>
        </is>
      </c>
      <c r="H162" s="99" t="inlineStr">
        <is>
          <t>Q4 2025</t>
        </is>
      </c>
      <c r="I162" s="101" t="n">
        <v>23704.79</v>
      </c>
      <c r="J162" s="101" t="n">
        <v>20865.99</v>
      </c>
      <c r="K162" s="101" t="n">
        <v>20455.88</v>
      </c>
      <c r="L162" s="165">
        <f>I162-J162</f>
        <v/>
      </c>
      <c r="M162" s="166">
        <f>IF(I162=0,0,ROUND((I162-J162)/I162,4))</f>
        <v/>
      </c>
      <c r="N162" s="104">
        <f>IF(I162=0,0,J162/I162)</f>
        <v/>
      </c>
      <c r="O162" s="105">
        <f>IF(L162&gt;=0,"Under","Over")</f>
        <v/>
      </c>
      <c r="P162" s="69">
        <f>IF(M162&lt;-0.05,"Watch","On Track")</f>
        <v/>
      </c>
    </row>
    <row r="163" ht="16" customHeight="1">
      <c r="A163" s="106" t="inlineStr">
        <is>
          <t>CC-00162</t>
        </is>
      </c>
      <c r="B163" s="71" t="inlineStr">
        <is>
          <t>EVT-2025-015</t>
        </is>
      </c>
      <c r="C163" s="70" t="inlineStr">
        <is>
          <t>Orphavex Congress Paris Dec 2025</t>
        </is>
      </c>
      <c r="D163" s="70" t="inlineStr">
        <is>
          <t>Rare Diseases</t>
        </is>
      </c>
      <c r="E163" s="70" t="inlineStr">
        <is>
          <t>BU Rare Diseases</t>
        </is>
      </c>
      <c r="F163" s="71" t="inlineStr">
        <is>
          <t>Speaker Fees</t>
        </is>
      </c>
      <c r="G163" s="71" t="inlineStr">
        <is>
          <t>Dec-2025</t>
        </is>
      </c>
      <c r="H163" s="71" t="inlineStr">
        <is>
          <t>Q4 2025</t>
        </is>
      </c>
      <c r="I163" s="73" t="n">
        <v>16931.99</v>
      </c>
      <c r="J163" s="73" t="n">
        <v>16268.8</v>
      </c>
      <c r="K163" s="73" t="n">
        <v>12792.76</v>
      </c>
      <c r="L163" s="163">
        <f>I163-J163</f>
        <v/>
      </c>
      <c r="M163" s="161">
        <f>IF(I163=0,0,ROUND((I163-J163)/I163,4))</f>
        <v/>
      </c>
      <c r="N163" s="107">
        <f>IF(I163=0,0,J163/I163)</f>
        <v/>
      </c>
      <c r="O163" s="108">
        <f>IF(L163&gt;=0,"Under","Over")</f>
        <v/>
      </c>
      <c r="P163" s="69">
        <f>IF(M163&lt;-0.05,"Watch","On Track")</f>
        <v/>
      </c>
    </row>
    <row r="164" ht="16" customHeight="1">
      <c r="A164" s="98" t="inlineStr">
        <is>
          <t>CC-00163</t>
        </is>
      </c>
      <c r="B164" s="99" t="inlineStr">
        <is>
          <t>EVT-2025-015</t>
        </is>
      </c>
      <c r="C164" s="100" t="inlineStr">
        <is>
          <t>Orphavex Congress Paris Dec 2025</t>
        </is>
      </c>
      <c r="D164" s="100" t="inlineStr">
        <is>
          <t>Rare Diseases</t>
        </is>
      </c>
      <c r="E164" s="100" t="inlineStr">
        <is>
          <t>BU Rare Diseases</t>
        </is>
      </c>
      <c r="F164" s="99" t="inlineStr">
        <is>
          <t>Translation</t>
        </is>
      </c>
      <c r="G164" s="99" t="inlineStr">
        <is>
          <t>Dec-2025</t>
        </is>
      </c>
      <c r="H164" s="99" t="inlineStr">
        <is>
          <t>Q4 2025</t>
        </is>
      </c>
      <c r="I164" s="101" t="n">
        <v>5079.6</v>
      </c>
      <c r="J164" s="101" t="n">
        <v>4504.28</v>
      </c>
      <c r="K164" s="101" t="n">
        <v>3887</v>
      </c>
      <c r="L164" s="165">
        <f>I164-J164</f>
        <v/>
      </c>
      <c r="M164" s="166">
        <f>IF(I164=0,0,ROUND((I164-J164)/I164,4))</f>
        <v/>
      </c>
      <c r="N164" s="104">
        <f>IF(I164=0,0,J164/I164)</f>
        <v/>
      </c>
      <c r="O164" s="105">
        <f>IF(L164&gt;=0,"Under","Over")</f>
        <v/>
      </c>
      <c r="P164" s="69">
        <f>IF(M164&lt;-0.05,"Watch","On Track")</f>
        <v/>
      </c>
    </row>
    <row r="165" ht="16" customHeight="1">
      <c r="A165" s="106" t="inlineStr">
        <is>
          <t>CC-00164</t>
        </is>
      </c>
      <c r="B165" s="71" t="inlineStr">
        <is>
          <t>EVT-2025-015</t>
        </is>
      </c>
      <c r="C165" s="70" t="inlineStr">
        <is>
          <t>Orphavex Congress Paris Dec 2025</t>
        </is>
      </c>
      <c r="D165" s="70" t="inlineStr">
        <is>
          <t>Rare Diseases</t>
        </is>
      </c>
      <c r="E165" s="70" t="inlineStr">
        <is>
          <t>BU Rare Diseases</t>
        </is>
      </c>
      <c r="F165" s="71" t="inlineStr">
        <is>
          <t>Print &amp; Production</t>
        </is>
      </c>
      <c r="G165" s="71" t="inlineStr">
        <is>
          <t>Dec-2025</t>
        </is>
      </c>
      <c r="H165" s="71" t="inlineStr">
        <is>
          <t>Q4 2025</t>
        </is>
      </c>
      <c r="I165" s="73" t="n">
        <v>3386.4</v>
      </c>
      <c r="J165" s="73" t="n">
        <v>3548.54</v>
      </c>
      <c r="K165" s="73" t="n">
        <v>2903.98</v>
      </c>
      <c r="L165" s="158">
        <f>I165-J165</f>
        <v/>
      </c>
      <c r="M165" s="161">
        <f>IF(I165=0,0,ROUND((I165-J165)/I165,4))</f>
        <v/>
      </c>
      <c r="N165" s="107">
        <f>IF(I165=0,0,J165/I165)</f>
        <v/>
      </c>
      <c r="O165" s="112">
        <f>IF(L165&gt;=0,"Under","Over")</f>
        <v/>
      </c>
      <c r="P165" s="69">
        <f>IF(M165&lt;-0.05,"Watch","On Track")</f>
        <v/>
      </c>
    </row>
    <row r="166" ht="16" customHeight="1">
      <c r="A166" s="98" t="inlineStr">
        <is>
          <t>CC-00165</t>
        </is>
      </c>
      <c r="B166" s="99" t="inlineStr">
        <is>
          <t>EVT-2025-015</t>
        </is>
      </c>
      <c r="C166" s="100" t="inlineStr">
        <is>
          <t>Orphavex Congress Paris Dec 2025</t>
        </is>
      </c>
      <c r="D166" s="100" t="inlineStr">
        <is>
          <t>Rare Diseases</t>
        </is>
      </c>
      <c r="E166" s="100" t="inlineStr">
        <is>
          <t>BU Rare Diseases</t>
        </is>
      </c>
      <c r="F166" s="99" t="inlineStr">
        <is>
          <t>Miscellaneous</t>
        </is>
      </c>
      <c r="G166" s="99" t="inlineStr">
        <is>
          <t>Dec-2025</t>
        </is>
      </c>
      <c r="H166" s="99" t="inlineStr">
        <is>
          <t>Q4 2025</t>
        </is>
      </c>
      <c r="I166" s="101" t="n">
        <v>3386.4</v>
      </c>
      <c r="J166" s="101" t="n">
        <v>2616.22</v>
      </c>
      <c r="K166" s="101" t="n">
        <v>2438.11</v>
      </c>
      <c r="L166" s="165">
        <f>I166-J166</f>
        <v/>
      </c>
      <c r="M166" s="166">
        <f>IF(I166=0,0,ROUND((I166-J166)/I166,4))</f>
        <v/>
      </c>
      <c r="N166" s="104">
        <f>IF(I166=0,0,J166/I166)</f>
        <v/>
      </c>
      <c r="O166" s="105">
        <f>IF(L166&gt;=0,"Under","Over")</f>
        <v/>
      </c>
      <c r="P166" s="69">
        <f>IF(M166&lt;-0.05,"Watch","On Track")</f>
        <v/>
      </c>
    </row>
    <row r="167" ht="16" customHeight="1">
      <c r="A167" s="106" t="inlineStr">
        <is>
          <t>CC-00166</t>
        </is>
      </c>
      <c r="B167" s="71" t="inlineStr">
        <is>
          <t>EVT-2025-016</t>
        </is>
      </c>
      <c r="C167" s="70" t="inlineStr">
        <is>
          <t>Genetrix Speaker Program Warsaw Jan 2025</t>
        </is>
      </c>
      <c r="D167" s="70" t="inlineStr">
        <is>
          <t>Rare Diseases</t>
        </is>
      </c>
      <c r="E167" s="70" t="inlineStr">
        <is>
          <t>BU Rare Diseases</t>
        </is>
      </c>
      <c r="F167" s="71" t="inlineStr">
        <is>
          <t>Airfare</t>
        </is>
      </c>
      <c r="G167" s="71" t="inlineStr">
        <is>
          <t>Jan-2025</t>
        </is>
      </c>
      <c r="H167" s="71" t="inlineStr">
        <is>
          <t>Q1 2025</t>
        </is>
      </c>
      <c r="I167" s="73" t="n">
        <v>29799.37</v>
      </c>
      <c r="J167" s="73" t="n">
        <v>20062.07</v>
      </c>
      <c r="K167" s="73" t="n">
        <v>14296.63</v>
      </c>
      <c r="L167" s="163">
        <f>I167-J167</f>
        <v/>
      </c>
      <c r="M167" s="161">
        <f>IF(I167=0,0,ROUND((I167-J167)/I167,4))</f>
        <v/>
      </c>
      <c r="N167" s="107">
        <f>IF(I167=0,0,J167/I167)</f>
        <v/>
      </c>
      <c r="O167" s="108">
        <f>IF(L167&gt;=0,"Under","Over")</f>
        <v/>
      </c>
      <c r="P167" s="69">
        <f>IF(M167&lt;-0.05,"Watch","On Track")</f>
        <v/>
      </c>
    </row>
    <row r="168" ht="16" customHeight="1">
      <c r="A168" s="98" t="inlineStr">
        <is>
          <t>CC-00167</t>
        </is>
      </c>
      <c r="B168" s="99" t="inlineStr">
        <is>
          <t>EVT-2025-016</t>
        </is>
      </c>
      <c r="C168" s="100" t="inlineStr">
        <is>
          <t>Genetrix Speaker Program Warsaw Jan 2025</t>
        </is>
      </c>
      <c r="D168" s="100" t="inlineStr">
        <is>
          <t>Rare Diseases</t>
        </is>
      </c>
      <c r="E168" s="100" t="inlineStr">
        <is>
          <t>BU Rare Diseases</t>
        </is>
      </c>
      <c r="F168" s="99" t="inlineStr">
        <is>
          <t>Hotel</t>
        </is>
      </c>
      <c r="G168" s="99" t="inlineStr">
        <is>
          <t>Jan-2025</t>
        </is>
      </c>
      <c r="H168" s="99" t="inlineStr">
        <is>
          <t>Q1 2025</t>
        </is>
      </c>
      <c r="I168" s="101" t="n">
        <v>53638.87</v>
      </c>
      <c r="J168" s="101" t="n">
        <v>57804.3</v>
      </c>
      <c r="K168" s="101" t="n">
        <v>41833.48</v>
      </c>
      <c r="L168" s="167">
        <f>I168-J168</f>
        <v/>
      </c>
      <c r="M168" s="168">
        <f>IF(I168=0,0,ROUND((I168-J168)/I168,4))</f>
        <v/>
      </c>
      <c r="N168" s="104">
        <f>IF(I168=0,0,J168/I168)</f>
        <v/>
      </c>
      <c r="O168" s="111">
        <f>IF(L168&gt;=0,"Under","Over")</f>
        <v/>
      </c>
      <c r="P168" s="76">
        <f>IF(M168&lt;-0.05,"Watch","On Track")</f>
        <v/>
      </c>
    </row>
    <row r="169" ht="16" customHeight="1">
      <c r="A169" s="106" t="inlineStr">
        <is>
          <t>CC-00168</t>
        </is>
      </c>
      <c r="B169" s="71" t="inlineStr">
        <is>
          <t>EVT-2025-016</t>
        </is>
      </c>
      <c r="C169" s="70" t="inlineStr">
        <is>
          <t>Genetrix Speaker Program Warsaw Jan 2025</t>
        </is>
      </c>
      <c r="D169" s="70" t="inlineStr">
        <is>
          <t>Rare Diseases</t>
        </is>
      </c>
      <c r="E169" s="70" t="inlineStr">
        <is>
          <t>BU Rare Diseases</t>
        </is>
      </c>
      <c r="F169" s="71" t="inlineStr">
        <is>
          <t>Venue</t>
        </is>
      </c>
      <c r="G169" s="71" t="inlineStr">
        <is>
          <t>Jan-2025</t>
        </is>
      </c>
      <c r="H169" s="71" t="inlineStr">
        <is>
          <t>Q1 2025</t>
        </is>
      </c>
      <c r="I169" s="73" t="n">
        <v>44699.06</v>
      </c>
      <c r="J169" s="73" t="n">
        <v>47470.62</v>
      </c>
      <c r="K169" s="73" t="n">
        <v>42571.25</v>
      </c>
      <c r="L169" s="158">
        <f>I169-J169</f>
        <v/>
      </c>
      <c r="M169" s="159">
        <f>IF(I169=0,0,ROUND((I169-J169)/I169,4))</f>
        <v/>
      </c>
      <c r="N169" s="107">
        <f>IF(I169=0,0,J169/I169)</f>
        <v/>
      </c>
      <c r="O169" s="112">
        <f>IF(L169&gt;=0,"Under","Over")</f>
        <v/>
      </c>
      <c r="P169" s="76">
        <f>IF(M169&lt;-0.05,"Watch","On Track")</f>
        <v/>
      </c>
    </row>
    <row r="170" ht="16" customHeight="1">
      <c r="A170" s="98" t="inlineStr">
        <is>
          <t>CC-00169</t>
        </is>
      </c>
      <c r="B170" s="99" t="inlineStr">
        <is>
          <t>EVT-2025-016</t>
        </is>
      </c>
      <c r="C170" s="100" t="inlineStr">
        <is>
          <t>Genetrix Speaker Program Warsaw Jan 2025</t>
        </is>
      </c>
      <c r="D170" s="100" t="inlineStr">
        <is>
          <t>Rare Diseases</t>
        </is>
      </c>
      <c r="E170" s="100" t="inlineStr">
        <is>
          <t>BU Rare Diseases</t>
        </is>
      </c>
      <c r="F170" s="99" t="inlineStr">
        <is>
          <t>F&amp;B</t>
        </is>
      </c>
      <c r="G170" s="99" t="inlineStr">
        <is>
          <t>Jan-2025</t>
        </is>
      </c>
      <c r="H170" s="99" t="inlineStr">
        <is>
          <t>Q1 2025</t>
        </is>
      </c>
      <c r="I170" s="101" t="n">
        <v>35759.24</v>
      </c>
      <c r="J170" s="101" t="n">
        <v>34817.67</v>
      </c>
      <c r="K170" s="101" t="n">
        <v>26607.53</v>
      </c>
      <c r="L170" s="165">
        <f>I170-J170</f>
        <v/>
      </c>
      <c r="M170" s="166">
        <f>IF(I170=0,0,ROUND((I170-J170)/I170,4))</f>
        <v/>
      </c>
      <c r="N170" s="104">
        <f>IF(I170=0,0,J170/I170)</f>
        <v/>
      </c>
      <c r="O170" s="105">
        <f>IF(L170&gt;=0,"Under","Over")</f>
        <v/>
      </c>
      <c r="P170" s="69">
        <f>IF(M170&lt;-0.05,"Watch","On Track")</f>
        <v/>
      </c>
    </row>
    <row r="171" ht="16" customHeight="1">
      <c r="A171" s="106" t="inlineStr">
        <is>
          <t>CC-00170</t>
        </is>
      </c>
      <c r="B171" s="71" t="inlineStr">
        <is>
          <t>EVT-2025-016</t>
        </is>
      </c>
      <c r="C171" s="70" t="inlineStr">
        <is>
          <t>Genetrix Speaker Program Warsaw Jan 2025</t>
        </is>
      </c>
      <c r="D171" s="70" t="inlineStr">
        <is>
          <t>Rare Diseases</t>
        </is>
      </c>
      <c r="E171" s="70" t="inlineStr">
        <is>
          <t>BU Rare Diseases</t>
        </is>
      </c>
      <c r="F171" s="71" t="inlineStr">
        <is>
          <t>Logistics</t>
        </is>
      </c>
      <c r="G171" s="71" t="inlineStr">
        <is>
          <t>Jan-2025</t>
        </is>
      </c>
      <c r="H171" s="71" t="inlineStr">
        <is>
          <t>Q1 2025</t>
        </is>
      </c>
      <c r="I171" s="73" t="n">
        <v>17879.62</v>
      </c>
      <c r="J171" s="73" t="n">
        <v>18129.5</v>
      </c>
      <c r="K171" s="73" t="n">
        <v>14165.3</v>
      </c>
      <c r="L171" s="158">
        <f>I171-J171</f>
        <v/>
      </c>
      <c r="M171" s="161">
        <f>IF(I171=0,0,ROUND((I171-J171)/I171,4))</f>
        <v/>
      </c>
      <c r="N171" s="107">
        <f>IF(I171=0,0,J171/I171)</f>
        <v/>
      </c>
      <c r="O171" s="112">
        <f>IF(L171&gt;=0,"Under","Over")</f>
        <v/>
      </c>
      <c r="P171" s="69">
        <f>IF(M171&lt;-0.05,"Watch","On Track")</f>
        <v/>
      </c>
    </row>
    <row r="172" ht="16" customHeight="1">
      <c r="A172" s="98" t="inlineStr">
        <is>
          <t>CC-00171</t>
        </is>
      </c>
      <c r="B172" s="99" t="inlineStr">
        <is>
          <t>EVT-2025-016</t>
        </is>
      </c>
      <c r="C172" s="100" t="inlineStr">
        <is>
          <t>Genetrix Speaker Program Warsaw Jan 2025</t>
        </is>
      </c>
      <c r="D172" s="100" t="inlineStr">
        <is>
          <t>Rare Diseases</t>
        </is>
      </c>
      <c r="E172" s="100" t="inlineStr">
        <is>
          <t>BU Rare Diseases</t>
        </is>
      </c>
      <c r="F172" s="99" t="inlineStr">
        <is>
          <t>AV &amp; Technology</t>
        </is>
      </c>
      <c r="G172" s="99" t="inlineStr">
        <is>
          <t>Jan-2025</t>
        </is>
      </c>
      <c r="H172" s="99" t="inlineStr">
        <is>
          <t>Q1 2025</t>
        </is>
      </c>
      <c r="I172" s="101" t="n">
        <v>23839.5</v>
      </c>
      <c r="J172" s="101" t="n">
        <v>21002.81</v>
      </c>
      <c r="K172" s="101" t="n">
        <v>16413.41</v>
      </c>
      <c r="L172" s="165">
        <f>I172-J172</f>
        <v/>
      </c>
      <c r="M172" s="166">
        <f>IF(I172=0,0,ROUND((I172-J172)/I172,4))</f>
        <v/>
      </c>
      <c r="N172" s="104">
        <f>IF(I172=0,0,J172/I172)</f>
        <v/>
      </c>
      <c r="O172" s="105">
        <f>IF(L172&gt;=0,"Under","Over")</f>
        <v/>
      </c>
      <c r="P172" s="69">
        <f>IF(M172&lt;-0.05,"Watch","On Track")</f>
        <v/>
      </c>
    </row>
    <row r="173" ht="16" customHeight="1">
      <c r="A173" s="106" t="inlineStr">
        <is>
          <t>CC-00172</t>
        </is>
      </c>
      <c r="B173" s="71" t="inlineStr">
        <is>
          <t>EVT-2025-016</t>
        </is>
      </c>
      <c r="C173" s="70" t="inlineStr">
        <is>
          <t>Genetrix Speaker Program Warsaw Jan 2025</t>
        </is>
      </c>
      <c r="D173" s="70" t="inlineStr">
        <is>
          <t>Rare Diseases</t>
        </is>
      </c>
      <c r="E173" s="70" t="inlineStr">
        <is>
          <t>BU Rare Diseases</t>
        </is>
      </c>
      <c r="F173" s="71" t="inlineStr">
        <is>
          <t>Agency Fees</t>
        </is>
      </c>
      <c r="G173" s="71" t="inlineStr">
        <is>
          <t>Jan-2025</t>
        </is>
      </c>
      <c r="H173" s="71" t="inlineStr">
        <is>
          <t>Q1 2025</t>
        </is>
      </c>
      <c r="I173" s="73" t="n">
        <v>41719.12</v>
      </c>
      <c r="J173" s="73" t="n">
        <v>27309.89</v>
      </c>
      <c r="K173" s="73" t="n">
        <v>25187.02</v>
      </c>
      <c r="L173" s="163">
        <f>I173-J173</f>
        <v/>
      </c>
      <c r="M173" s="161">
        <f>IF(I173=0,0,ROUND((I173-J173)/I173,4))</f>
        <v/>
      </c>
      <c r="N173" s="107">
        <f>IF(I173=0,0,J173/I173)</f>
        <v/>
      </c>
      <c r="O173" s="108">
        <f>IF(L173&gt;=0,"Under","Over")</f>
        <v/>
      </c>
      <c r="P173" s="69">
        <f>IF(M173&lt;-0.05,"Watch","On Track")</f>
        <v/>
      </c>
    </row>
    <row r="174" ht="16" customHeight="1">
      <c r="A174" s="98" t="inlineStr">
        <is>
          <t>CC-00173</t>
        </is>
      </c>
      <c r="B174" s="99" t="inlineStr">
        <is>
          <t>EVT-2025-016</t>
        </is>
      </c>
      <c r="C174" s="100" t="inlineStr">
        <is>
          <t>Genetrix Speaker Program Warsaw Jan 2025</t>
        </is>
      </c>
      <c r="D174" s="100" t="inlineStr">
        <is>
          <t>Rare Diseases</t>
        </is>
      </c>
      <c r="E174" s="100" t="inlineStr">
        <is>
          <t>BU Rare Diseases</t>
        </is>
      </c>
      <c r="F174" s="99" t="inlineStr">
        <is>
          <t>Speaker Fees</t>
        </is>
      </c>
      <c r="G174" s="99" t="inlineStr">
        <is>
          <t>Jan-2025</t>
        </is>
      </c>
      <c r="H174" s="99" t="inlineStr">
        <is>
          <t>Q1 2025</t>
        </is>
      </c>
      <c r="I174" s="101" t="n">
        <v>29799.37</v>
      </c>
      <c r="J174" s="101" t="n">
        <v>21444.85</v>
      </c>
      <c r="K174" s="101" t="n">
        <v>15337.99</v>
      </c>
      <c r="L174" s="165">
        <f>I174-J174</f>
        <v/>
      </c>
      <c r="M174" s="166">
        <f>IF(I174=0,0,ROUND((I174-J174)/I174,4))</f>
        <v/>
      </c>
      <c r="N174" s="104">
        <f>IF(I174=0,0,J174/I174)</f>
        <v/>
      </c>
      <c r="O174" s="105">
        <f>IF(L174&gt;=0,"Under","Over")</f>
        <v/>
      </c>
      <c r="P174" s="69">
        <f>IF(M174&lt;-0.05,"Watch","On Track")</f>
        <v/>
      </c>
    </row>
    <row r="175" ht="16" customHeight="1">
      <c r="A175" s="106" t="inlineStr">
        <is>
          <t>CC-00174</t>
        </is>
      </c>
      <c r="B175" s="71" t="inlineStr">
        <is>
          <t>EVT-2025-016</t>
        </is>
      </c>
      <c r="C175" s="70" t="inlineStr">
        <is>
          <t>Genetrix Speaker Program Warsaw Jan 2025</t>
        </is>
      </c>
      <c r="D175" s="70" t="inlineStr">
        <is>
          <t>Rare Diseases</t>
        </is>
      </c>
      <c r="E175" s="70" t="inlineStr">
        <is>
          <t>BU Rare Diseases</t>
        </is>
      </c>
      <c r="F175" s="71" t="inlineStr">
        <is>
          <t>Translation</t>
        </is>
      </c>
      <c r="G175" s="71" t="inlineStr">
        <is>
          <t>Jan-2025</t>
        </is>
      </c>
      <c r="H175" s="71" t="inlineStr">
        <is>
          <t>Q1 2025</t>
        </is>
      </c>
      <c r="I175" s="73" t="n">
        <v>8939.809999999999</v>
      </c>
      <c r="J175" s="73" t="n">
        <v>9409.969999999999</v>
      </c>
      <c r="K175" s="73" t="n">
        <v>7224.05</v>
      </c>
      <c r="L175" s="158">
        <f>I175-J175</f>
        <v/>
      </c>
      <c r="M175" s="159">
        <f>IF(I175=0,0,ROUND((I175-J175)/I175,4))</f>
        <v/>
      </c>
      <c r="N175" s="107">
        <f>IF(I175=0,0,J175/I175)</f>
        <v/>
      </c>
      <c r="O175" s="112">
        <f>IF(L175&gt;=0,"Under","Over")</f>
        <v/>
      </c>
      <c r="P175" s="76">
        <f>IF(M175&lt;-0.05,"Watch","On Track")</f>
        <v/>
      </c>
    </row>
    <row r="176" ht="16" customHeight="1">
      <c r="A176" s="98" t="inlineStr">
        <is>
          <t>CC-00175</t>
        </is>
      </c>
      <c r="B176" s="99" t="inlineStr">
        <is>
          <t>EVT-2025-016</t>
        </is>
      </c>
      <c r="C176" s="100" t="inlineStr">
        <is>
          <t>Genetrix Speaker Program Warsaw Jan 2025</t>
        </is>
      </c>
      <c r="D176" s="100" t="inlineStr">
        <is>
          <t>Rare Diseases</t>
        </is>
      </c>
      <c r="E176" s="100" t="inlineStr">
        <is>
          <t>BU Rare Diseases</t>
        </is>
      </c>
      <c r="F176" s="99" t="inlineStr">
        <is>
          <t>Print &amp; Production</t>
        </is>
      </c>
      <c r="G176" s="99" t="inlineStr">
        <is>
          <t>Jan-2025</t>
        </is>
      </c>
      <c r="H176" s="99" t="inlineStr">
        <is>
          <t>Q1 2025</t>
        </is>
      </c>
      <c r="I176" s="101" t="n">
        <v>5959.87</v>
      </c>
      <c r="J176" s="101" t="n">
        <v>4269.76</v>
      </c>
      <c r="K176" s="101" t="n">
        <v>3117.18</v>
      </c>
      <c r="L176" s="165">
        <f>I176-J176</f>
        <v/>
      </c>
      <c r="M176" s="166">
        <f>IF(I176=0,0,ROUND((I176-J176)/I176,4))</f>
        <v/>
      </c>
      <c r="N176" s="104">
        <f>IF(I176=0,0,J176/I176)</f>
        <v/>
      </c>
      <c r="O176" s="105">
        <f>IF(L176&gt;=0,"Under","Over")</f>
        <v/>
      </c>
      <c r="P176" s="69">
        <f>IF(M176&lt;-0.05,"Watch","On Track")</f>
        <v/>
      </c>
    </row>
    <row r="177" ht="16" customHeight="1">
      <c r="A177" s="106" t="inlineStr">
        <is>
          <t>CC-00176</t>
        </is>
      </c>
      <c r="B177" s="71" t="inlineStr">
        <is>
          <t>EVT-2025-016</t>
        </is>
      </c>
      <c r="C177" s="70" t="inlineStr">
        <is>
          <t>Genetrix Speaker Program Warsaw Jan 2025</t>
        </is>
      </c>
      <c r="D177" s="70" t="inlineStr">
        <is>
          <t>Rare Diseases</t>
        </is>
      </c>
      <c r="E177" s="70" t="inlineStr">
        <is>
          <t>BU Rare Diseases</t>
        </is>
      </c>
      <c r="F177" s="71" t="inlineStr">
        <is>
          <t>Miscellaneous</t>
        </is>
      </c>
      <c r="G177" s="71" t="inlineStr">
        <is>
          <t>Jan-2025</t>
        </is>
      </c>
      <c r="H177" s="71" t="inlineStr">
        <is>
          <t>Q1 2025</t>
        </is>
      </c>
      <c r="I177" s="73" t="n">
        <v>5959.87</v>
      </c>
      <c r="J177" s="73" t="n">
        <v>4560.18</v>
      </c>
      <c r="K177" s="73" t="n">
        <v>3838.4</v>
      </c>
      <c r="L177" s="163">
        <f>I177-J177</f>
        <v/>
      </c>
      <c r="M177" s="161">
        <f>IF(I177=0,0,ROUND((I177-J177)/I177,4))</f>
        <v/>
      </c>
      <c r="N177" s="107">
        <f>IF(I177=0,0,J177/I177)</f>
        <v/>
      </c>
      <c r="O177" s="108">
        <f>IF(L177&gt;=0,"Under","Over")</f>
        <v/>
      </c>
      <c r="P177" s="69">
        <f>IF(M177&lt;-0.05,"Watch","On Track")</f>
        <v/>
      </c>
    </row>
    <row r="178" ht="16" customHeight="1">
      <c r="A178" s="98" t="inlineStr">
        <is>
          <t>CC-00177</t>
        </is>
      </c>
      <c r="B178" s="99" t="inlineStr">
        <is>
          <t>EVT-2025-017</t>
        </is>
      </c>
      <c r="C178" s="100" t="inlineStr">
        <is>
          <t>Eplitazan Internal Meeting Budapest Nov 2025</t>
        </is>
      </c>
      <c r="D178" s="100" t="inlineStr">
        <is>
          <t>Cardiology</t>
        </is>
      </c>
      <c r="E178" s="100" t="inlineStr">
        <is>
          <t>BU Cardiovascular</t>
        </is>
      </c>
      <c r="F178" s="99" t="inlineStr">
        <is>
          <t>Airfare</t>
        </is>
      </c>
      <c r="G178" s="99" t="inlineStr">
        <is>
          <t>Nov-2025</t>
        </is>
      </c>
      <c r="H178" s="99" t="inlineStr">
        <is>
          <t>Q4 2025</t>
        </is>
      </c>
      <c r="I178" s="101" t="n">
        <v>25855.63</v>
      </c>
      <c r="J178" s="101" t="n">
        <v>24319.7</v>
      </c>
      <c r="K178" s="101" t="n">
        <v>0</v>
      </c>
      <c r="L178" s="165">
        <f>I178-J178</f>
        <v/>
      </c>
      <c r="M178" s="166">
        <f>IF(I178=0,0,ROUND((I178-J178)/I178,4))</f>
        <v/>
      </c>
      <c r="N178" s="104">
        <f>IF(I178=0,0,J178/I178)</f>
        <v/>
      </c>
      <c r="O178" s="105">
        <f>IF(L178&gt;=0,"Under","Over")</f>
        <v/>
      </c>
      <c r="P178" s="69">
        <f>IF(M178&lt;-0.05,"Watch","On Track")</f>
        <v/>
      </c>
    </row>
    <row r="179" ht="16" customHeight="1">
      <c r="A179" s="106" t="inlineStr">
        <is>
          <t>CC-00178</t>
        </is>
      </c>
      <c r="B179" s="71" t="inlineStr">
        <is>
          <t>EVT-2025-017</t>
        </is>
      </c>
      <c r="C179" s="70" t="inlineStr">
        <is>
          <t>Eplitazan Internal Meeting Budapest Nov 2025</t>
        </is>
      </c>
      <c r="D179" s="70" t="inlineStr">
        <is>
          <t>Cardiology</t>
        </is>
      </c>
      <c r="E179" s="70" t="inlineStr">
        <is>
          <t>BU Cardiovascular</t>
        </is>
      </c>
      <c r="F179" s="71" t="inlineStr">
        <is>
          <t>Hotel</t>
        </is>
      </c>
      <c r="G179" s="71" t="inlineStr">
        <is>
          <t>Nov-2025</t>
        </is>
      </c>
      <c r="H179" s="71" t="inlineStr">
        <is>
          <t>Q4 2025</t>
        </is>
      </c>
      <c r="I179" s="73" t="n">
        <v>46540.13</v>
      </c>
      <c r="J179" s="73" t="n">
        <v>31122.94</v>
      </c>
      <c r="K179" s="73" t="n">
        <v>0</v>
      </c>
      <c r="L179" s="163">
        <f>I179-J179</f>
        <v/>
      </c>
      <c r="M179" s="161">
        <f>IF(I179=0,0,ROUND((I179-J179)/I179,4))</f>
        <v/>
      </c>
      <c r="N179" s="107">
        <f>IF(I179=0,0,J179/I179)</f>
        <v/>
      </c>
      <c r="O179" s="108">
        <f>IF(L179&gt;=0,"Under","Over")</f>
        <v/>
      </c>
      <c r="P179" s="69">
        <f>IF(M179&lt;-0.05,"Watch","On Track")</f>
        <v/>
      </c>
    </row>
    <row r="180" ht="16" customHeight="1">
      <c r="A180" s="98" t="inlineStr">
        <is>
          <t>CC-00179</t>
        </is>
      </c>
      <c r="B180" s="99" t="inlineStr">
        <is>
          <t>EVT-2025-017</t>
        </is>
      </c>
      <c r="C180" s="100" t="inlineStr">
        <is>
          <t>Eplitazan Internal Meeting Budapest Nov 2025</t>
        </is>
      </c>
      <c r="D180" s="100" t="inlineStr">
        <is>
          <t>Cardiology</t>
        </is>
      </c>
      <c r="E180" s="100" t="inlineStr">
        <is>
          <t>BU Cardiovascular</t>
        </is>
      </c>
      <c r="F180" s="99" t="inlineStr">
        <is>
          <t>Venue</t>
        </is>
      </c>
      <c r="G180" s="99" t="inlineStr">
        <is>
          <t>Nov-2025</t>
        </is>
      </c>
      <c r="H180" s="99" t="inlineStr">
        <is>
          <t>Q4 2025</t>
        </is>
      </c>
      <c r="I180" s="101" t="n">
        <v>38783.44</v>
      </c>
      <c r="J180" s="101" t="n">
        <v>41973.74</v>
      </c>
      <c r="K180" s="101" t="n">
        <v>0</v>
      </c>
      <c r="L180" s="167">
        <f>I180-J180</f>
        <v/>
      </c>
      <c r="M180" s="168">
        <f>IF(I180=0,0,ROUND((I180-J180)/I180,4))</f>
        <v/>
      </c>
      <c r="N180" s="104">
        <f>IF(I180=0,0,J180/I180)</f>
        <v/>
      </c>
      <c r="O180" s="111">
        <f>IF(L180&gt;=0,"Under","Over")</f>
        <v/>
      </c>
      <c r="P180" s="76">
        <f>IF(M180&lt;-0.05,"Watch","On Track")</f>
        <v/>
      </c>
    </row>
    <row r="181" ht="16" customHeight="1">
      <c r="A181" s="106" t="inlineStr">
        <is>
          <t>CC-00180</t>
        </is>
      </c>
      <c r="B181" s="71" t="inlineStr">
        <is>
          <t>EVT-2025-017</t>
        </is>
      </c>
      <c r="C181" s="70" t="inlineStr">
        <is>
          <t>Eplitazan Internal Meeting Budapest Nov 2025</t>
        </is>
      </c>
      <c r="D181" s="70" t="inlineStr">
        <is>
          <t>Cardiology</t>
        </is>
      </c>
      <c r="E181" s="70" t="inlineStr">
        <is>
          <t>BU Cardiovascular</t>
        </is>
      </c>
      <c r="F181" s="71" t="inlineStr">
        <is>
          <t>F&amp;B</t>
        </is>
      </c>
      <c r="G181" s="71" t="inlineStr">
        <is>
          <t>Nov-2025</t>
        </is>
      </c>
      <c r="H181" s="71" t="inlineStr">
        <is>
          <t>Q4 2025</t>
        </is>
      </c>
      <c r="I181" s="73" t="n">
        <v>31026.75</v>
      </c>
      <c r="J181" s="73" t="n">
        <v>33786.75</v>
      </c>
      <c r="K181" s="73" t="n">
        <v>0</v>
      </c>
      <c r="L181" s="158">
        <f>I181-J181</f>
        <v/>
      </c>
      <c r="M181" s="159">
        <f>IF(I181=0,0,ROUND((I181-J181)/I181,4))</f>
        <v/>
      </c>
      <c r="N181" s="107">
        <f>IF(I181=0,0,J181/I181)</f>
        <v/>
      </c>
      <c r="O181" s="112">
        <f>IF(L181&gt;=0,"Under","Over")</f>
        <v/>
      </c>
      <c r="P181" s="76">
        <f>IF(M181&lt;-0.05,"Watch","On Track")</f>
        <v/>
      </c>
    </row>
    <row r="182" ht="16" customHeight="1">
      <c r="A182" s="98" t="inlineStr">
        <is>
          <t>CC-00181</t>
        </is>
      </c>
      <c r="B182" s="99" t="inlineStr">
        <is>
          <t>EVT-2025-017</t>
        </is>
      </c>
      <c r="C182" s="100" t="inlineStr">
        <is>
          <t>Eplitazan Internal Meeting Budapest Nov 2025</t>
        </is>
      </c>
      <c r="D182" s="100" t="inlineStr">
        <is>
          <t>Cardiology</t>
        </is>
      </c>
      <c r="E182" s="100" t="inlineStr">
        <is>
          <t>BU Cardiovascular</t>
        </is>
      </c>
      <c r="F182" s="99" t="inlineStr">
        <is>
          <t>Logistics</t>
        </is>
      </c>
      <c r="G182" s="99" t="inlineStr">
        <is>
          <t>Nov-2025</t>
        </is>
      </c>
      <c r="H182" s="99" t="inlineStr">
        <is>
          <t>Q4 2025</t>
        </is>
      </c>
      <c r="I182" s="101" t="n">
        <v>15513.38</v>
      </c>
      <c r="J182" s="101" t="n">
        <v>10533.13</v>
      </c>
      <c r="K182" s="101" t="n">
        <v>0</v>
      </c>
      <c r="L182" s="165">
        <f>I182-J182</f>
        <v/>
      </c>
      <c r="M182" s="166">
        <f>IF(I182=0,0,ROUND((I182-J182)/I182,4))</f>
        <v/>
      </c>
      <c r="N182" s="104">
        <f>IF(I182=0,0,J182/I182)</f>
        <v/>
      </c>
      <c r="O182" s="105">
        <f>IF(L182&gt;=0,"Under","Over")</f>
        <v/>
      </c>
      <c r="P182" s="69">
        <f>IF(M182&lt;-0.05,"Watch","On Track")</f>
        <v/>
      </c>
    </row>
    <row r="183" ht="16" customHeight="1">
      <c r="A183" s="106" t="inlineStr">
        <is>
          <t>CC-00182</t>
        </is>
      </c>
      <c r="B183" s="71" t="inlineStr">
        <is>
          <t>EVT-2025-017</t>
        </is>
      </c>
      <c r="C183" s="70" t="inlineStr">
        <is>
          <t>Eplitazan Internal Meeting Budapest Nov 2025</t>
        </is>
      </c>
      <c r="D183" s="70" t="inlineStr">
        <is>
          <t>Cardiology</t>
        </is>
      </c>
      <c r="E183" s="70" t="inlineStr">
        <is>
          <t>BU Cardiovascular</t>
        </is>
      </c>
      <c r="F183" s="71" t="inlineStr">
        <is>
          <t>AV &amp; Technology</t>
        </is>
      </c>
      <c r="G183" s="71" t="inlineStr">
        <is>
          <t>Nov-2025</t>
        </is>
      </c>
      <c r="H183" s="71" t="inlineStr">
        <is>
          <t>Q4 2025</t>
        </is>
      </c>
      <c r="I183" s="73" t="n">
        <v>20684.5</v>
      </c>
      <c r="J183" s="73" t="n">
        <v>19163.08</v>
      </c>
      <c r="K183" s="73" t="n">
        <v>0</v>
      </c>
      <c r="L183" s="163">
        <f>I183-J183</f>
        <v/>
      </c>
      <c r="M183" s="161">
        <f>IF(I183=0,0,ROUND((I183-J183)/I183,4))</f>
        <v/>
      </c>
      <c r="N183" s="107">
        <f>IF(I183=0,0,J183/I183)</f>
        <v/>
      </c>
      <c r="O183" s="108">
        <f>IF(L183&gt;=0,"Under","Over")</f>
        <v/>
      </c>
      <c r="P183" s="69">
        <f>IF(M183&lt;-0.05,"Watch","On Track")</f>
        <v/>
      </c>
    </row>
    <row r="184" ht="16" customHeight="1">
      <c r="A184" s="98" t="inlineStr">
        <is>
          <t>CC-00183</t>
        </is>
      </c>
      <c r="B184" s="99" t="inlineStr">
        <is>
          <t>EVT-2025-017</t>
        </is>
      </c>
      <c r="C184" s="100" t="inlineStr">
        <is>
          <t>Eplitazan Internal Meeting Budapest Nov 2025</t>
        </is>
      </c>
      <c r="D184" s="100" t="inlineStr">
        <is>
          <t>Cardiology</t>
        </is>
      </c>
      <c r="E184" s="100" t="inlineStr">
        <is>
          <t>BU Cardiovascular</t>
        </is>
      </c>
      <c r="F184" s="99" t="inlineStr">
        <is>
          <t>Agency Fees</t>
        </is>
      </c>
      <c r="G184" s="99" t="inlineStr">
        <is>
          <t>Nov-2025</t>
        </is>
      </c>
      <c r="H184" s="99" t="inlineStr">
        <is>
          <t>Q4 2025</t>
        </is>
      </c>
      <c r="I184" s="101" t="n">
        <v>36197.88</v>
      </c>
      <c r="J184" s="101" t="n">
        <v>37657.51</v>
      </c>
      <c r="K184" s="101" t="n">
        <v>0</v>
      </c>
      <c r="L184" s="167">
        <f>I184-J184</f>
        <v/>
      </c>
      <c r="M184" s="166">
        <f>IF(I184=0,0,ROUND((I184-J184)/I184,4))</f>
        <v/>
      </c>
      <c r="N184" s="104">
        <f>IF(I184=0,0,J184/I184)</f>
        <v/>
      </c>
      <c r="O184" s="111">
        <f>IF(L184&gt;=0,"Under","Over")</f>
        <v/>
      </c>
      <c r="P184" s="69">
        <f>IF(M184&lt;-0.05,"Watch","On Track")</f>
        <v/>
      </c>
    </row>
    <row r="185" ht="16" customHeight="1">
      <c r="A185" s="106" t="inlineStr">
        <is>
          <t>CC-00184</t>
        </is>
      </c>
      <c r="B185" s="71" t="inlineStr">
        <is>
          <t>EVT-2025-017</t>
        </is>
      </c>
      <c r="C185" s="70" t="inlineStr">
        <is>
          <t>Eplitazan Internal Meeting Budapest Nov 2025</t>
        </is>
      </c>
      <c r="D185" s="70" t="inlineStr">
        <is>
          <t>Cardiology</t>
        </is>
      </c>
      <c r="E185" s="70" t="inlineStr">
        <is>
          <t>BU Cardiovascular</t>
        </is>
      </c>
      <c r="F185" s="71" t="inlineStr">
        <is>
          <t>Speaker Fees</t>
        </is>
      </c>
      <c r="G185" s="71" t="inlineStr">
        <is>
          <t>Nov-2025</t>
        </is>
      </c>
      <c r="H185" s="71" t="inlineStr">
        <is>
          <t>Q4 2025</t>
        </is>
      </c>
      <c r="I185" s="73" t="n">
        <v>25855.63</v>
      </c>
      <c r="J185" s="73" t="n">
        <v>21663.13</v>
      </c>
      <c r="K185" s="73" t="n">
        <v>0</v>
      </c>
      <c r="L185" s="163">
        <f>I185-J185</f>
        <v/>
      </c>
      <c r="M185" s="161">
        <f>IF(I185=0,0,ROUND((I185-J185)/I185,4))</f>
        <v/>
      </c>
      <c r="N185" s="107">
        <f>IF(I185=0,0,J185/I185)</f>
        <v/>
      </c>
      <c r="O185" s="108">
        <f>IF(L185&gt;=0,"Under","Over")</f>
        <v/>
      </c>
      <c r="P185" s="69">
        <f>IF(M185&lt;-0.05,"Watch","On Track")</f>
        <v/>
      </c>
    </row>
    <row r="186" ht="16" customHeight="1">
      <c r="A186" s="98" t="inlineStr">
        <is>
          <t>CC-00185</t>
        </is>
      </c>
      <c r="B186" s="99" t="inlineStr">
        <is>
          <t>EVT-2025-017</t>
        </is>
      </c>
      <c r="C186" s="100" t="inlineStr">
        <is>
          <t>Eplitazan Internal Meeting Budapest Nov 2025</t>
        </is>
      </c>
      <c r="D186" s="100" t="inlineStr">
        <is>
          <t>Cardiology</t>
        </is>
      </c>
      <c r="E186" s="100" t="inlineStr">
        <is>
          <t>BU Cardiovascular</t>
        </is>
      </c>
      <c r="F186" s="99" t="inlineStr">
        <is>
          <t>Translation</t>
        </is>
      </c>
      <c r="G186" s="99" t="inlineStr">
        <is>
          <t>Nov-2025</t>
        </is>
      </c>
      <c r="H186" s="99" t="inlineStr">
        <is>
          <t>Q4 2025</t>
        </is>
      </c>
      <c r="I186" s="101" t="n">
        <v>7756.69</v>
      </c>
      <c r="J186" s="101" t="n">
        <v>7177.03</v>
      </c>
      <c r="K186" s="101" t="n">
        <v>0</v>
      </c>
      <c r="L186" s="165">
        <f>I186-J186</f>
        <v/>
      </c>
      <c r="M186" s="166">
        <f>IF(I186=0,0,ROUND((I186-J186)/I186,4))</f>
        <v/>
      </c>
      <c r="N186" s="104">
        <f>IF(I186=0,0,J186/I186)</f>
        <v/>
      </c>
      <c r="O186" s="105">
        <f>IF(L186&gt;=0,"Under","Over")</f>
        <v/>
      </c>
      <c r="P186" s="69">
        <f>IF(M186&lt;-0.05,"Watch","On Track")</f>
        <v/>
      </c>
    </row>
    <row r="187" ht="16" customHeight="1">
      <c r="A187" s="106" t="inlineStr">
        <is>
          <t>CC-00186</t>
        </is>
      </c>
      <c r="B187" s="71" t="inlineStr">
        <is>
          <t>EVT-2025-017</t>
        </is>
      </c>
      <c r="C187" s="70" t="inlineStr">
        <is>
          <t>Eplitazan Internal Meeting Budapest Nov 2025</t>
        </is>
      </c>
      <c r="D187" s="70" t="inlineStr">
        <is>
          <t>Cardiology</t>
        </is>
      </c>
      <c r="E187" s="70" t="inlineStr">
        <is>
          <t>BU Cardiovascular</t>
        </is>
      </c>
      <c r="F187" s="71" t="inlineStr">
        <is>
          <t>Print &amp; Production</t>
        </is>
      </c>
      <c r="G187" s="71" t="inlineStr">
        <is>
          <t>Nov-2025</t>
        </is>
      </c>
      <c r="H187" s="71" t="inlineStr">
        <is>
          <t>Q4 2025</t>
        </is>
      </c>
      <c r="I187" s="73" t="n">
        <v>5171.13</v>
      </c>
      <c r="J187" s="73" t="n">
        <v>5057.14</v>
      </c>
      <c r="K187" s="73" t="n">
        <v>0</v>
      </c>
      <c r="L187" s="163">
        <f>I187-J187</f>
        <v/>
      </c>
      <c r="M187" s="161">
        <f>IF(I187=0,0,ROUND((I187-J187)/I187,4))</f>
        <v/>
      </c>
      <c r="N187" s="107">
        <f>IF(I187=0,0,J187/I187)</f>
        <v/>
      </c>
      <c r="O187" s="108">
        <f>IF(L187&gt;=0,"Under","Over")</f>
        <v/>
      </c>
      <c r="P187" s="69">
        <f>IF(M187&lt;-0.05,"Watch","On Track")</f>
        <v/>
      </c>
    </row>
    <row r="188" ht="16" customHeight="1">
      <c r="A188" s="98" t="inlineStr">
        <is>
          <t>CC-00187</t>
        </is>
      </c>
      <c r="B188" s="99" t="inlineStr">
        <is>
          <t>EVT-2025-017</t>
        </is>
      </c>
      <c r="C188" s="100" t="inlineStr">
        <is>
          <t>Eplitazan Internal Meeting Budapest Nov 2025</t>
        </is>
      </c>
      <c r="D188" s="100" t="inlineStr">
        <is>
          <t>Cardiology</t>
        </is>
      </c>
      <c r="E188" s="100" t="inlineStr">
        <is>
          <t>BU Cardiovascular</t>
        </is>
      </c>
      <c r="F188" s="99" t="inlineStr">
        <is>
          <t>Miscellaneous</t>
        </is>
      </c>
      <c r="G188" s="99" t="inlineStr">
        <is>
          <t>Nov-2025</t>
        </is>
      </c>
      <c r="H188" s="99" t="inlineStr">
        <is>
          <t>Q4 2025</t>
        </is>
      </c>
      <c r="I188" s="101" t="n">
        <v>5171.13</v>
      </c>
      <c r="J188" s="101" t="n">
        <v>3845.37</v>
      </c>
      <c r="K188" s="101" t="n">
        <v>0</v>
      </c>
      <c r="L188" s="165">
        <f>I188-J188</f>
        <v/>
      </c>
      <c r="M188" s="166">
        <f>IF(I188=0,0,ROUND((I188-J188)/I188,4))</f>
        <v/>
      </c>
      <c r="N188" s="104">
        <f>IF(I188=0,0,J188/I188)</f>
        <v/>
      </c>
      <c r="O188" s="105">
        <f>IF(L188&gt;=0,"Under","Over")</f>
        <v/>
      </c>
      <c r="P188" s="69">
        <f>IF(M188&lt;-0.05,"Watch","On Track")</f>
        <v/>
      </c>
    </row>
    <row r="189" ht="16" customHeight="1">
      <c r="A189" s="106" t="inlineStr">
        <is>
          <t>CC-00188</t>
        </is>
      </c>
      <c r="B189" s="71" t="inlineStr">
        <is>
          <t>EVT-2025-018</t>
        </is>
      </c>
      <c r="C189" s="70" t="inlineStr">
        <is>
          <t>Caprexosin Launch Event Prague Jan 2025</t>
        </is>
      </c>
      <c r="D189" s="70" t="inlineStr">
        <is>
          <t>Oncology</t>
        </is>
      </c>
      <c r="E189" s="70" t="inlineStr">
        <is>
          <t>BU Oncology</t>
        </is>
      </c>
      <c r="F189" s="71" t="inlineStr">
        <is>
          <t>Airfare</t>
        </is>
      </c>
      <c r="G189" s="71" t="inlineStr">
        <is>
          <t>Jan-2025</t>
        </is>
      </c>
      <c r="H189" s="71" t="inlineStr">
        <is>
          <t>Q1 2025</t>
        </is>
      </c>
      <c r="I189" s="73" t="n">
        <v>14328.77</v>
      </c>
      <c r="J189" s="73" t="n">
        <v>10642.09</v>
      </c>
      <c r="K189" s="73" t="n">
        <v>7638.35</v>
      </c>
      <c r="L189" s="163">
        <f>I189-J189</f>
        <v/>
      </c>
      <c r="M189" s="161">
        <f>IF(I189=0,0,ROUND((I189-J189)/I189,4))</f>
        <v/>
      </c>
      <c r="N189" s="107">
        <f>IF(I189=0,0,J189/I189)</f>
        <v/>
      </c>
      <c r="O189" s="108">
        <f>IF(L189&gt;=0,"Under","Over")</f>
        <v/>
      </c>
      <c r="P189" s="69">
        <f>IF(M189&lt;-0.05,"Watch","On Track")</f>
        <v/>
      </c>
    </row>
    <row r="190" ht="16" customHeight="1">
      <c r="A190" s="98" t="inlineStr">
        <is>
          <t>CC-00189</t>
        </is>
      </c>
      <c r="B190" s="99" t="inlineStr">
        <is>
          <t>EVT-2025-018</t>
        </is>
      </c>
      <c r="C190" s="100" t="inlineStr">
        <is>
          <t>Caprexosin Launch Event Prague Jan 2025</t>
        </is>
      </c>
      <c r="D190" s="100" t="inlineStr">
        <is>
          <t>Oncology</t>
        </is>
      </c>
      <c r="E190" s="100" t="inlineStr">
        <is>
          <t>BU Oncology</t>
        </is>
      </c>
      <c r="F190" s="99" t="inlineStr">
        <is>
          <t>Hotel</t>
        </is>
      </c>
      <c r="G190" s="99" t="inlineStr">
        <is>
          <t>Jan-2025</t>
        </is>
      </c>
      <c r="H190" s="99" t="inlineStr">
        <is>
          <t>Q1 2025</t>
        </is>
      </c>
      <c r="I190" s="101" t="n">
        <v>25791.78</v>
      </c>
      <c r="J190" s="101" t="n">
        <v>25388.46</v>
      </c>
      <c r="K190" s="101" t="n">
        <v>22740.18</v>
      </c>
      <c r="L190" s="165">
        <f>I190-J190</f>
        <v/>
      </c>
      <c r="M190" s="166">
        <f>IF(I190=0,0,ROUND((I190-J190)/I190,4))</f>
        <v/>
      </c>
      <c r="N190" s="104">
        <f>IF(I190=0,0,J190/I190)</f>
        <v/>
      </c>
      <c r="O190" s="105">
        <f>IF(L190&gt;=0,"Under","Over")</f>
        <v/>
      </c>
      <c r="P190" s="69">
        <f>IF(M190&lt;-0.05,"Watch","On Track")</f>
        <v/>
      </c>
    </row>
    <row r="191" ht="16" customHeight="1">
      <c r="A191" s="106" t="inlineStr">
        <is>
          <t>CC-00190</t>
        </is>
      </c>
      <c r="B191" s="71" t="inlineStr">
        <is>
          <t>EVT-2025-018</t>
        </is>
      </c>
      <c r="C191" s="70" t="inlineStr">
        <is>
          <t>Caprexosin Launch Event Prague Jan 2025</t>
        </is>
      </c>
      <c r="D191" s="70" t="inlineStr">
        <is>
          <t>Oncology</t>
        </is>
      </c>
      <c r="E191" s="70" t="inlineStr">
        <is>
          <t>BU Oncology</t>
        </is>
      </c>
      <c r="F191" s="71" t="inlineStr">
        <is>
          <t>Venue</t>
        </is>
      </c>
      <c r="G191" s="71" t="inlineStr">
        <is>
          <t>Jan-2025</t>
        </is>
      </c>
      <c r="H191" s="71" t="inlineStr">
        <is>
          <t>Q1 2025</t>
        </is>
      </c>
      <c r="I191" s="73" t="n">
        <v>21493.15</v>
      </c>
      <c r="J191" s="73" t="n">
        <v>15391.46</v>
      </c>
      <c r="K191" s="73" t="n">
        <v>14184.86</v>
      </c>
      <c r="L191" s="163">
        <f>I191-J191</f>
        <v/>
      </c>
      <c r="M191" s="161">
        <f>IF(I191=0,0,ROUND((I191-J191)/I191,4))</f>
        <v/>
      </c>
      <c r="N191" s="107">
        <f>IF(I191=0,0,J191/I191)</f>
        <v/>
      </c>
      <c r="O191" s="108">
        <f>IF(L191&gt;=0,"Under","Over")</f>
        <v/>
      </c>
      <c r="P191" s="69">
        <f>IF(M191&lt;-0.05,"Watch","On Track")</f>
        <v/>
      </c>
    </row>
    <row r="192" ht="16" customHeight="1">
      <c r="A192" s="98" t="inlineStr">
        <is>
          <t>CC-00191</t>
        </is>
      </c>
      <c r="B192" s="99" t="inlineStr">
        <is>
          <t>EVT-2025-018</t>
        </is>
      </c>
      <c r="C192" s="100" t="inlineStr">
        <is>
          <t>Caprexosin Launch Event Prague Jan 2025</t>
        </is>
      </c>
      <c r="D192" s="100" t="inlineStr">
        <is>
          <t>Oncology</t>
        </is>
      </c>
      <c r="E192" s="100" t="inlineStr">
        <is>
          <t>BU Oncology</t>
        </is>
      </c>
      <c r="F192" s="99" t="inlineStr">
        <is>
          <t>F&amp;B</t>
        </is>
      </c>
      <c r="G192" s="99" t="inlineStr">
        <is>
          <t>Jan-2025</t>
        </is>
      </c>
      <c r="H192" s="99" t="inlineStr">
        <is>
          <t>Q1 2025</t>
        </is>
      </c>
      <c r="I192" s="101" t="n">
        <v>17194.52</v>
      </c>
      <c r="J192" s="101" t="n">
        <v>17627.25</v>
      </c>
      <c r="K192" s="101" t="n">
        <v>12536.31</v>
      </c>
      <c r="L192" s="167">
        <f>I192-J192</f>
        <v/>
      </c>
      <c r="M192" s="166">
        <f>IF(I192=0,0,ROUND((I192-J192)/I192,4))</f>
        <v/>
      </c>
      <c r="N192" s="104">
        <f>IF(I192=0,0,J192/I192)</f>
        <v/>
      </c>
      <c r="O192" s="111">
        <f>IF(L192&gt;=0,"Under","Over")</f>
        <v/>
      </c>
      <c r="P192" s="69">
        <f>IF(M192&lt;-0.05,"Watch","On Track")</f>
        <v/>
      </c>
    </row>
    <row r="193" ht="16" customHeight="1">
      <c r="A193" s="106" t="inlineStr">
        <is>
          <t>CC-00192</t>
        </is>
      </c>
      <c r="B193" s="71" t="inlineStr">
        <is>
          <t>EVT-2025-018</t>
        </is>
      </c>
      <c r="C193" s="70" t="inlineStr">
        <is>
          <t>Caprexosin Launch Event Prague Jan 2025</t>
        </is>
      </c>
      <c r="D193" s="70" t="inlineStr">
        <is>
          <t>Oncology</t>
        </is>
      </c>
      <c r="E193" s="70" t="inlineStr">
        <is>
          <t>BU Oncology</t>
        </is>
      </c>
      <c r="F193" s="71" t="inlineStr">
        <is>
          <t>Logistics</t>
        </is>
      </c>
      <c r="G193" s="71" t="inlineStr">
        <is>
          <t>Jan-2025</t>
        </is>
      </c>
      <c r="H193" s="71" t="inlineStr">
        <is>
          <t>Q1 2025</t>
        </is>
      </c>
      <c r="I193" s="73" t="n">
        <v>8597.26</v>
      </c>
      <c r="J193" s="73" t="n">
        <v>9119.42</v>
      </c>
      <c r="K193" s="73" t="n">
        <v>7526.85</v>
      </c>
      <c r="L193" s="158">
        <f>I193-J193</f>
        <v/>
      </c>
      <c r="M193" s="159">
        <f>IF(I193=0,0,ROUND((I193-J193)/I193,4))</f>
        <v/>
      </c>
      <c r="N193" s="107">
        <f>IF(I193=0,0,J193/I193)</f>
        <v/>
      </c>
      <c r="O193" s="112">
        <f>IF(L193&gt;=0,"Under","Over")</f>
        <v/>
      </c>
      <c r="P193" s="76">
        <f>IF(M193&lt;-0.05,"Watch","On Track")</f>
        <v/>
      </c>
    </row>
    <row r="194" ht="16" customHeight="1">
      <c r="A194" s="98" t="inlineStr">
        <is>
          <t>CC-00193</t>
        </is>
      </c>
      <c r="B194" s="99" t="inlineStr">
        <is>
          <t>EVT-2025-018</t>
        </is>
      </c>
      <c r="C194" s="100" t="inlineStr">
        <is>
          <t>Caprexosin Launch Event Prague Jan 2025</t>
        </is>
      </c>
      <c r="D194" s="100" t="inlineStr">
        <is>
          <t>Oncology</t>
        </is>
      </c>
      <c r="E194" s="100" t="inlineStr">
        <is>
          <t>BU Oncology</t>
        </is>
      </c>
      <c r="F194" s="99" t="inlineStr">
        <is>
          <t>AV &amp; Technology</t>
        </is>
      </c>
      <c r="G194" s="99" t="inlineStr">
        <is>
          <t>Jan-2025</t>
        </is>
      </c>
      <c r="H194" s="99" t="inlineStr">
        <is>
          <t>Q1 2025</t>
        </is>
      </c>
      <c r="I194" s="101" t="n">
        <v>11463.02</v>
      </c>
      <c r="J194" s="101" t="n">
        <v>11678.55</v>
      </c>
      <c r="K194" s="101" t="n">
        <v>11447.04</v>
      </c>
      <c r="L194" s="167">
        <f>I194-J194</f>
        <v/>
      </c>
      <c r="M194" s="166">
        <f>IF(I194=0,0,ROUND((I194-J194)/I194,4))</f>
        <v/>
      </c>
      <c r="N194" s="104">
        <f>IF(I194=0,0,J194/I194)</f>
        <v/>
      </c>
      <c r="O194" s="111">
        <f>IF(L194&gt;=0,"Under","Over")</f>
        <v/>
      </c>
      <c r="P194" s="69">
        <f>IF(M194&lt;-0.05,"Watch","On Track")</f>
        <v/>
      </c>
    </row>
    <row r="195" ht="16" customHeight="1">
      <c r="A195" s="106" t="inlineStr">
        <is>
          <t>CC-00194</t>
        </is>
      </c>
      <c r="B195" s="71" t="inlineStr">
        <is>
          <t>EVT-2025-018</t>
        </is>
      </c>
      <c r="C195" s="70" t="inlineStr">
        <is>
          <t>Caprexosin Launch Event Prague Jan 2025</t>
        </is>
      </c>
      <c r="D195" s="70" t="inlineStr">
        <is>
          <t>Oncology</t>
        </is>
      </c>
      <c r="E195" s="70" t="inlineStr">
        <is>
          <t>BU Oncology</t>
        </is>
      </c>
      <c r="F195" s="71" t="inlineStr">
        <is>
          <t>Agency Fees</t>
        </is>
      </c>
      <c r="G195" s="71" t="inlineStr">
        <is>
          <t>Jan-2025</t>
        </is>
      </c>
      <c r="H195" s="71" t="inlineStr">
        <is>
          <t>Q1 2025</t>
        </is>
      </c>
      <c r="I195" s="73" t="n">
        <v>20060.28</v>
      </c>
      <c r="J195" s="73" t="n">
        <v>12400.66</v>
      </c>
      <c r="K195" s="73" t="n">
        <v>11791.3</v>
      </c>
      <c r="L195" s="163">
        <f>I195-J195</f>
        <v/>
      </c>
      <c r="M195" s="161">
        <f>IF(I195=0,0,ROUND((I195-J195)/I195,4))</f>
        <v/>
      </c>
      <c r="N195" s="107">
        <f>IF(I195=0,0,J195/I195)</f>
        <v/>
      </c>
      <c r="O195" s="108">
        <f>IF(L195&gt;=0,"Under","Over")</f>
        <v/>
      </c>
      <c r="P195" s="69">
        <f>IF(M195&lt;-0.05,"Watch","On Track")</f>
        <v/>
      </c>
    </row>
    <row r="196" ht="16" customHeight="1">
      <c r="A196" s="98" t="inlineStr">
        <is>
          <t>CC-00195</t>
        </is>
      </c>
      <c r="B196" s="99" t="inlineStr">
        <is>
          <t>EVT-2025-018</t>
        </is>
      </c>
      <c r="C196" s="100" t="inlineStr">
        <is>
          <t>Caprexosin Launch Event Prague Jan 2025</t>
        </is>
      </c>
      <c r="D196" s="100" t="inlineStr">
        <is>
          <t>Oncology</t>
        </is>
      </c>
      <c r="E196" s="100" t="inlineStr">
        <is>
          <t>BU Oncology</t>
        </is>
      </c>
      <c r="F196" s="99" t="inlineStr">
        <is>
          <t>Speaker Fees</t>
        </is>
      </c>
      <c r="G196" s="99" t="inlineStr">
        <is>
          <t>Jan-2025</t>
        </is>
      </c>
      <c r="H196" s="99" t="inlineStr">
        <is>
          <t>Q1 2025</t>
        </is>
      </c>
      <c r="I196" s="101" t="n">
        <v>14328.77</v>
      </c>
      <c r="J196" s="101" t="n">
        <v>14242.52</v>
      </c>
      <c r="K196" s="101" t="n">
        <v>10765.83</v>
      </c>
      <c r="L196" s="165">
        <f>I196-J196</f>
        <v/>
      </c>
      <c r="M196" s="166">
        <f>IF(I196=0,0,ROUND((I196-J196)/I196,4))</f>
        <v/>
      </c>
      <c r="N196" s="104">
        <f>IF(I196=0,0,J196/I196)</f>
        <v/>
      </c>
      <c r="O196" s="105">
        <f>IF(L196&gt;=0,"Under","Over")</f>
        <v/>
      </c>
      <c r="P196" s="69">
        <f>IF(M196&lt;-0.05,"Watch","On Track")</f>
        <v/>
      </c>
    </row>
    <row r="197" ht="16" customHeight="1">
      <c r="A197" s="106" t="inlineStr">
        <is>
          <t>CC-00196</t>
        </is>
      </c>
      <c r="B197" s="71" t="inlineStr">
        <is>
          <t>EVT-2025-018</t>
        </is>
      </c>
      <c r="C197" s="70" t="inlineStr">
        <is>
          <t>Caprexosin Launch Event Prague Jan 2025</t>
        </is>
      </c>
      <c r="D197" s="70" t="inlineStr">
        <is>
          <t>Oncology</t>
        </is>
      </c>
      <c r="E197" s="70" t="inlineStr">
        <is>
          <t>BU Oncology</t>
        </is>
      </c>
      <c r="F197" s="71" t="inlineStr">
        <is>
          <t>Translation</t>
        </is>
      </c>
      <c r="G197" s="71" t="inlineStr">
        <is>
          <t>Jan-2025</t>
        </is>
      </c>
      <c r="H197" s="71" t="inlineStr">
        <is>
          <t>Q1 2025</t>
        </is>
      </c>
      <c r="I197" s="73" t="n">
        <v>4298.63</v>
      </c>
      <c r="J197" s="73" t="n">
        <v>4189.02</v>
      </c>
      <c r="K197" s="73" t="n">
        <v>4028.53</v>
      </c>
      <c r="L197" s="163">
        <f>I197-J197</f>
        <v/>
      </c>
      <c r="M197" s="161">
        <f>IF(I197=0,0,ROUND((I197-J197)/I197,4))</f>
        <v/>
      </c>
      <c r="N197" s="107">
        <f>IF(I197=0,0,J197/I197)</f>
        <v/>
      </c>
      <c r="O197" s="108">
        <f>IF(L197&gt;=0,"Under","Over")</f>
        <v/>
      </c>
      <c r="P197" s="69">
        <f>IF(M197&lt;-0.05,"Watch","On Track")</f>
        <v/>
      </c>
    </row>
    <row r="198" ht="16" customHeight="1">
      <c r="A198" s="98" t="inlineStr">
        <is>
          <t>CC-00197</t>
        </is>
      </c>
      <c r="B198" s="99" t="inlineStr">
        <is>
          <t>EVT-2025-018</t>
        </is>
      </c>
      <c r="C198" s="100" t="inlineStr">
        <is>
          <t>Caprexosin Launch Event Prague Jan 2025</t>
        </is>
      </c>
      <c r="D198" s="100" t="inlineStr">
        <is>
          <t>Oncology</t>
        </is>
      </c>
      <c r="E198" s="100" t="inlineStr">
        <is>
          <t>BU Oncology</t>
        </is>
      </c>
      <c r="F198" s="99" t="inlineStr">
        <is>
          <t>Print &amp; Production</t>
        </is>
      </c>
      <c r="G198" s="99" t="inlineStr">
        <is>
          <t>Jan-2025</t>
        </is>
      </c>
      <c r="H198" s="99" t="inlineStr">
        <is>
          <t>Q1 2025</t>
        </is>
      </c>
      <c r="I198" s="101" t="n">
        <v>2865.75</v>
      </c>
      <c r="J198" s="101" t="n">
        <v>2134.22</v>
      </c>
      <c r="K198" s="101" t="n">
        <v>1517.94</v>
      </c>
      <c r="L198" s="165">
        <f>I198-J198</f>
        <v/>
      </c>
      <c r="M198" s="166">
        <f>IF(I198=0,0,ROUND((I198-J198)/I198,4))</f>
        <v/>
      </c>
      <c r="N198" s="104">
        <f>IF(I198=0,0,J198/I198)</f>
        <v/>
      </c>
      <c r="O198" s="105">
        <f>IF(L198&gt;=0,"Under","Over")</f>
        <v/>
      </c>
      <c r="P198" s="69">
        <f>IF(M198&lt;-0.05,"Watch","On Track")</f>
        <v/>
      </c>
    </row>
    <row r="199" ht="16" customHeight="1">
      <c r="A199" s="106" t="inlineStr">
        <is>
          <t>CC-00198</t>
        </is>
      </c>
      <c r="B199" s="71" t="inlineStr">
        <is>
          <t>EVT-2025-018</t>
        </is>
      </c>
      <c r="C199" s="70" t="inlineStr">
        <is>
          <t>Caprexosin Launch Event Prague Jan 2025</t>
        </is>
      </c>
      <c r="D199" s="70" t="inlineStr">
        <is>
          <t>Oncology</t>
        </is>
      </c>
      <c r="E199" s="70" t="inlineStr">
        <is>
          <t>BU Oncology</t>
        </is>
      </c>
      <c r="F199" s="71" t="inlineStr">
        <is>
          <t>Miscellaneous</t>
        </is>
      </c>
      <c r="G199" s="71" t="inlineStr">
        <is>
          <t>Jan-2025</t>
        </is>
      </c>
      <c r="H199" s="71" t="inlineStr">
        <is>
          <t>Q1 2025</t>
        </is>
      </c>
      <c r="I199" s="73" t="n">
        <v>2865.75</v>
      </c>
      <c r="J199" s="73" t="n">
        <v>2147.01</v>
      </c>
      <c r="K199" s="73" t="n">
        <v>1891.16</v>
      </c>
      <c r="L199" s="163">
        <f>I199-J199</f>
        <v/>
      </c>
      <c r="M199" s="161">
        <f>IF(I199=0,0,ROUND((I199-J199)/I199,4))</f>
        <v/>
      </c>
      <c r="N199" s="107">
        <f>IF(I199=0,0,J199/I199)</f>
        <v/>
      </c>
      <c r="O199" s="108">
        <f>IF(L199&gt;=0,"Under","Over")</f>
        <v/>
      </c>
      <c r="P199" s="69">
        <f>IF(M199&lt;-0.05,"Watch","On Track")</f>
        <v/>
      </c>
    </row>
    <row r="200" ht="16" customHeight="1">
      <c r="A200" s="98" t="inlineStr">
        <is>
          <t>CC-00199</t>
        </is>
      </c>
      <c r="B200" s="99" t="inlineStr">
        <is>
          <t>EVT-2025-019</t>
        </is>
      </c>
      <c r="C200" s="100" t="inlineStr">
        <is>
          <t>Influximab Advisory Board London Sep 2025</t>
        </is>
      </c>
      <c r="D200" s="100" t="inlineStr">
        <is>
          <t>Immunology</t>
        </is>
      </c>
      <c r="E200" s="100" t="inlineStr">
        <is>
          <t>BU Immunology</t>
        </is>
      </c>
      <c r="F200" s="99" t="inlineStr">
        <is>
          <t>Airfare</t>
        </is>
      </c>
      <c r="G200" s="99" t="inlineStr">
        <is>
          <t>Sep-2025</t>
        </is>
      </c>
      <c r="H200" s="99" t="inlineStr">
        <is>
          <t>Q3 2025</t>
        </is>
      </c>
      <c r="I200" s="101" t="n">
        <v>35968.58</v>
      </c>
      <c r="J200" s="101" t="n">
        <v>38278.75</v>
      </c>
      <c r="K200" s="101" t="n">
        <v>30642.62</v>
      </c>
      <c r="L200" s="167">
        <f>I200-J200</f>
        <v/>
      </c>
      <c r="M200" s="168">
        <f>IF(I200=0,0,ROUND((I200-J200)/I200,4))</f>
        <v/>
      </c>
      <c r="N200" s="104">
        <f>IF(I200=0,0,J200/I200)</f>
        <v/>
      </c>
      <c r="O200" s="111">
        <f>IF(L200&gt;=0,"Under","Over")</f>
        <v/>
      </c>
      <c r="P200" s="76">
        <f>IF(M200&lt;-0.05,"Watch","On Track")</f>
        <v/>
      </c>
    </row>
    <row r="201" ht="16" customHeight="1">
      <c r="A201" s="106" t="inlineStr">
        <is>
          <t>CC-00200</t>
        </is>
      </c>
      <c r="B201" s="71" t="inlineStr">
        <is>
          <t>EVT-2025-019</t>
        </is>
      </c>
      <c r="C201" s="70" t="inlineStr">
        <is>
          <t>Influximab Advisory Board London Sep 2025</t>
        </is>
      </c>
      <c r="D201" s="70" t="inlineStr">
        <is>
          <t>Immunology</t>
        </is>
      </c>
      <c r="E201" s="70" t="inlineStr">
        <is>
          <t>BU Immunology</t>
        </is>
      </c>
      <c r="F201" s="71" t="inlineStr">
        <is>
          <t>Hotel</t>
        </is>
      </c>
      <c r="G201" s="71" t="inlineStr">
        <is>
          <t>Sep-2025</t>
        </is>
      </c>
      <c r="H201" s="71" t="inlineStr">
        <is>
          <t>Q3 2025</t>
        </is>
      </c>
      <c r="I201" s="73" t="n">
        <v>64743.45</v>
      </c>
      <c r="J201" s="73" t="n">
        <v>53554.13</v>
      </c>
      <c r="K201" s="73" t="n">
        <v>47791.37</v>
      </c>
      <c r="L201" s="163">
        <f>I201-J201</f>
        <v/>
      </c>
      <c r="M201" s="161">
        <f>IF(I201=0,0,ROUND((I201-J201)/I201,4))</f>
        <v/>
      </c>
      <c r="N201" s="107">
        <f>IF(I201=0,0,J201/I201)</f>
        <v/>
      </c>
      <c r="O201" s="108">
        <f>IF(L201&gt;=0,"Under","Over")</f>
        <v/>
      </c>
      <c r="P201" s="69">
        <f>IF(M201&lt;-0.05,"Watch","On Track")</f>
        <v/>
      </c>
    </row>
    <row r="202" ht="16" customHeight="1">
      <c r="A202" s="98" t="inlineStr">
        <is>
          <t>CC-00201</t>
        </is>
      </c>
      <c r="B202" s="99" t="inlineStr">
        <is>
          <t>EVT-2025-019</t>
        </is>
      </c>
      <c r="C202" s="100" t="inlineStr">
        <is>
          <t>Influximab Advisory Board London Sep 2025</t>
        </is>
      </c>
      <c r="D202" s="100" t="inlineStr">
        <is>
          <t>Immunology</t>
        </is>
      </c>
      <c r="E202" s="100" t="inlineStr">
        <is>
          <t>BU Immunology</t>
        </is>
      </c>
      <c r="F202" s="99" t="inlineStr">
        <is>
          <t>Venue</t>
        </is>
      </c>
      <c r="G202" s="99" t="inlineStr">
        <is>
          <t>Sep-2025</t>
        </is>
      </c>
      <c r="H202" s="99" t="inlineStr">
        <is>
          <t>Q3 2025</t>
        </is>
      </c>
      <c r="I202" s="101" t="n">
        <v>53952.88</v>
      </c>
      <c r="J202" s="101" t="n">
        <v>46515.98</v>
      </c>
      <c r="K202" s="101" t="n">
        <v>44970.63</v>
      </c>
      <c r="L202" s="165">
        <f>I202-J202</f>
        <v/>
      </c>
      <c r="M202" s="166">
        <f>IF(I202=0,0,ROUND((I202-J202)/I202,4))</f>
        <v/>
      </c>
      <c r="N202" s="104">
        <f>IF(I202=0,0,J202/I202)</f>
        <v/>
      </c>
      <c r="O202" s="105">
        <f>IF(L202&gt;=0,"Under","Over")</f>
        <v/>
      </c>
      <c r="P202" s="69">
        <f>IF(M202&lt;-0.05,"Watch","On Track")</f>
        <v/>
      </c>
    </row>
    <row r="203" ht="16" customHeight="1">
      <c r="A203" s="106" t="inlineStr">
        <is>
          <t>CC-00202</t>
        </is>
      </c>
      <c r="B203" s="71" t="inlineStr">
        <is>
          <t>EVT-2025-019</t>
        </is>
      </c>
      <c r="C203" s="70" t="inlineStr">
        <is>
          <t>Influximab Advisory Board London Sep 2025</t>
        </is>
      </c>
      <c r="D203" s="70" t="inlineStr">
        <is>
          <t>Immunology</t>
        </is>
      </c>
      <c r="E203" s="70" t="inlineStr">
        <is>
          <t>BU Immunology</t>
        </is>
      </c>
      <c r="F203" s="71" t="inlineStr">
        <is>
          <t>F&amp;B</t>
        </is>
      </c>
      <c r="G203" s="71" t="inlineStr">
        <is>
          <t>Sep-2025</t>
        </is>
      </c>
      <c r="H203" s="71" t="inlineStr">
        <is>
          <t>Q3 2025</t>
        </is>
      </c>
      <c r="I203" s="73" t="n">
        <v>43162.3</v>
      </c>
      <c r="J203" s="73" t="n">
        <v>28793.57</v>
      </c>
      <c r="K203" s="73" t="n">
        <v>24510.92</v>
      </c>
      <c r="L203" s="163">
        <f>I203-J203</f>
        <v/>
      </c>
      <c r="M203" s="161">
        <f>IF(I203=0,0,ROUND((I203-J203)/I203,4))</f>
        <v/>
      </c>
      <c r="N203" s="107">
        <f>IF(I203=0,0,J203/I203)</f>
        <v/>
      </c>
      <c r="O203" s="108">
        <f>IF(L203&gt;=0,"Under","Over")</f>
        <v/>
      </c>
      <c r="P203" s="69">
        <f>IF(M203&lt;-0.05,"Watch","On Track")</f>
        <v/>
      </c>
    </row>
    <row r="204" ht="16" customHeight="1">
      <c r="A204" s="98" t="inlineStr">
        <is>
          <t>CC-00203</t>
        </is>
      </c>
      <c r="B204" s="99" t="inlineStr">
        <is>
          <t>EVT-2025-019</t>
        </is>
      </c>
      <c r="C204" s="100" t="inlineStr">
        <is>
          <t>Influximab Advisory Board London Sep 2025</t>
        </is>
      </c>
      <c r="D204" s="100" t="inlineStr">
        <is>
          <t>Immunology</t>
        </is>
      </c>
      <c r="E204" s="100" t="inlineStr">
        <is>
          <t>BU Immunology</t>
        </is>
      </c>
      <c r="F204" s="99" t="inlineStr">
        <is>
          <t>Logistics</t>
        </is>
      </c>
      <c r="G204" s="99" t="inlineStr">
        <is>
          <t>Sep-2025</t>
        </is>
      </c>
      <c r="H204" s="99" t="inlineStr">
        <is>
          <t>Q3 2025</t>
        </is>
      </c>
      <c r="I204" s="101" t="n">
        <v>21581.15</v>
      </c>
      <c r="J204" s="101" t="n">
        <v>15892.76</v>
      </c>
      <c r="K204" s="101" t="n">
        <v>14981.22</v>
      </c>
      <c r="L204" s="165">
        <f>I204-J204</f>
        <v/>
      </c>
      <c r="M204" s="166">
        <f>IF(I204=0,0,ROUND((I204-J204)/I204,4))</f>
        <v/>
      </c>
      <c r="N204" s="104">
        <f>IF(I204=0,0,J204/I204)</f>
        <v/>
      </c>
      <c r="O204" s="105">
        <f>IF(L204&gt;=0,"Under","Over")</f>
        <v/>
      </c>
      <c r="P204" s="69">
        <f>IF(M204&lt;-0.05,"Watch","On Track")</f>
        <v/>
      </c>
    </row>
    <row r="205" ht="16" customHeight="1">
      <c r="A205" s="106" t="inlineStr">
        <is>
          <t>CC-00204</t>
        </is>
      </c>
      <c r="B205" s="71" t="inlineStr">
        <is>
          <t>EVT-2025-019</t>
        </is>
      </c>
      <c r="C205" s="70" t="inlineStr">
        <is>
          <t>Influximab Advisory Board London Sep 2025</t>
        </is>
      </c>
      <c r="D205" s="70" t="inlineStr">
        <is>
          <t>Immunology</t>
        </is>
      </c>
      <c r="E205" s="70" t="inlineStr">
        <is>
          <t>BU Immunology</t>
        </is>
      </c>
      <c r="F205" s="71" t="inlineStr">
        <is>
          <t>AV &amp; Technology</t>
        </is>
      </c>
      <c r="G205" s="71" t="inlineStr">
        <is>
          <t>Sep-2025</t>
        </is>
      </c>
      <c r="H205" s="71" t="inlineStr">
        <is>
          <t>Q3 2025</t>
        </is>
      </c>
      <c r="I205" s="73" t="n">
        <v>28774.87</v>
      </c>
      <c r="J205" s="73" t="n">
        <v>22022.62</v>
      </c>
      <c r="K205" s="73" t="n">
        <v>20246.18</v>
      </c>
      <c r="L205" s="163">
        <f>I205-J205</f>
        <v/>
      </c>
      <c r="M205" s="161">
        <f>IF(I205=0,0,ROUND((I205-J205)/I205,4))</f>
        <v/>
      </c>
      <c r="N205" s="107">
        <f>IF(I205=0,0,J205/I205)</f>
        <v/>
      </c>
      <c r="O205" s="108">
        <f>IF(L205&gt;=0,"Under","Over")</f>
        <v/>
      </c>
      <c r="P205" s="69">
        <f>IF(M205&lt;-0.05,"Watch","On Track")</f>
        <v/>
      </c>
    </row>
    <row r="206" ht="16" customHeight="1">
      <c r="A206" s="98" t="inlineStr">
        <is>
          <t>CC-00205</t>
        </is>
      </c>
      <c r="B206" s="99" t="inlineStr">
        <is>
          <t>EVT-2025-019</t>
        </is>
      </c>
      <c r="C206" s="100" t="inlineStr">
        <is>
          <t>Influximab Advisory Board London Sep 2025</t>
        </is>
      </c>
      <c r="D206" s="100" t="inlineStr">
        <is>
          <t>Immunology</t>
        </is>
      </c>
      <c r="E206" s="100" t="inlineStr">
        <is>
          <t>BU Immunology</t>
        </is>
      </c>
      <c r="F206" s="99" t="inlineStr">
        <is>
          <t>Agency Fees</t>
        </is>
      </c>
      <c r="G206" s="99" t="inlineStr">
        <is>
          <t>Sep-2025</t>
        </is>
      </c>
      <c r="H206" s="99" t="inlineStr">
        <is>
          <t>Q3 2025</t>
        </is>
      </c>
      <c r="I206" s="101" t="n">
        <v>50356.02</v>
      </c>
      <c r="J206" s="101" t="n">
        <v>46536.15</v>
      </c>
      <c r="K206" s="101" t="n">
        <v>42607.54</v>
      </c>
      <c r="L206" s="165">
        <f>I206-J206</f>
        <v/>
      </c>
      <c r="M206" s="166">
        <f>IF(I206=0,0,ROUND((I206-J206)/I206,4))</f>
        <v/>
      </c>
      <c r="N206" s="104">
        <f>IF(I206=0,0,J206/I206)</f>
        <v/>
      </c>
      <c r="O206" s="105">
        <f>IF(L206&gt;=0,"Under","Over")</f>
        <v/>
      </c>
      <c r="P206" s="69">
        <f>IF(M206&lt;-0.05,"Watch","On Track")</f>
        <v/>
      </c>
    </row>
    <row r="207" ht="16" customHeight="1">
      <c r="A207" s="106" t="inlineStr">
        <is>
          <t>CC-00206</t>
        </is>
      </c>
      <c r="B207" s="71" t="inlineStr">
        <is>
          <t>EVT-2025-019</t>
        </is>
      </c>
      <c r="C207" s="70" t="inlineStr">
        <is>
          <t>Influximab Advisory Board London Sep 2025</t>
        </is>
      </c>
      <c r="D207" s="70" t="inlineStr">
        <is>
          <t>Immunology</t>
        </is>
      </c>
      <c r="E207" s="70" t="inlineStr">
        <is>
          <t>BU Immunology</t>
        </is>
      </c>
      <c r="F207" s="71" t="inlineStr">
        <is>
          <t>Speaker Fees</t>
        </is>
      </c>
      <c r="G207" s="71" t="inlineStr">
        <is>
          <t>Sep-2025</t>
        </is>
      </c>
      <c r="H207" s="71" t="inlineStr">
        <is>
          <t>Q3 2025</t>
        </is>
      </c>
      <c r="I207" s="73" t="n">
        <v>35968.58</v>
      </c>
      <c r="J207" s="73" t="n">
        <v>21834.44</v>
      </c>
      <c r="K207" s="73" t="n">
        <v>17492.3</v>
      </c>
      <c r="L207" s="163">
        <f>I207-J207</f>
        <v/>
      </c>
      <c r="M207" s="161">
        <f>IF(I207=0,0,ROUND((I207-J207)/I207,4))</f>
        <v/>
      </c>
      <c r="N207" s="107">
        <f>IF(I207=0,0,J207/I207)</f>
        <v/>
      </c>
      <c r="O207" s="108">
        <f>IF(L207&gt;=0,"Under","Over")</f>
        <v/>
      </c>
      <c r="P207" s="69">
        <f>IF(M207&lt;-0.05,"Watch","On Track")</f>
        <v/>
      </c>
    </row>
    <row r="208" ht="16" customHeight="1">
      <c r="A208" s="98" t="inlineStr">
        <is>
          <t>CC-00207</t>
        </is>
      </c>
      <c r="B208" s="99" t="inlineStr">
        <is>
          <t>EVT-2025-019</t>
        </is>
      </c>
      <c r="C208" s="100" t="inlineStr">
        <is>
          <t>Influximab Advisory Board London Sep 2025</t>
        </is>
      </c>
      <c r="D208" s="100" t="inlineStr">
        <is>
          <t>Immunology</t>
        </is>
      </c>
      <c r="E208" s="100" t="inlineStr">
        <is>
          <t>BU Immunology</t>
        </is>
      </c>
      <c r="F208" s="99" t="inlineStr">
        <is>
          <t>Translation</t>
        </is>
      </c>
      <c r="G208" s="99" t="inlineStr">
        <is>
          <t>Sep-2025</t>
        </is>
      </c>
      <c r="H208" s="99" t="inlineStr">
        <is>
          <t>Q3 2025</t>
        </is>
      </c>
      <c r="I208" s="101" t="n">
        <v>10790.58</v>
      </c>
      <c r="J208" s="101" t="n">
        <v>8066.09</v>
      </c>
      <c r="K208" s="101" t="n">
        <v>7278.2</v>
      </c>
      <c r="L208" s="165">
        <f>I208-J208</f>
        <v/>
      </c>
      <c r="M208" s="166">
        <f>IF(I208=0,0,ROUND((I208-J208)/I208,4))</f>
        <v/>
      </c>
      <c r="N208" s="104">
        <f>IF(I208=0,0,J208/I208)</f>
        <v/>
      </c>
      <c r="O208" s="105">
        <f>IF(L208&gt;=0,"Under","Over")</f>
        <v/>
      </c>
      <c r="P208" s="69">
        <f>IF(M208&lt;-0.05,"Watch","On Track")</f>
        <v/>
      </c>
    </row>
    <row r="209" ht="16" customHeight="1">
      <c r="A209" s="106" t="inlineStr">
        <is>
          <t>CC-00208</t>
        </is>
      </c>
      <c r="B209" s="71" t="inlineStr">
        <is>
          <t>EVT-2025-019</t>
        </is>
      </c>
      <c r="C209" s="70" t="inlineStr">
        <is>
          <t>Influximab Advisory Board London Sep 2025</t>
        </is>
      </c>
      <c r="D209" s="70" t="inlineStr">
        <is>
          <t>Immunology</t>
        </is>
      </c>
      <c r="E209" s="70" t="inlineStr">
        <is>
          <t>BU Immunology</t>
        </is>
      </c>
      <c r="F209" s="71" t="inlineStr">
        <is>
          <t>Print &amp; Production</t>
        </is>
      </c>
      <c r="G209" s="71" t="inlineStr">
        <is>
          <t>Sep-2025</t>
        </is>
      </c>
      <c r="H209" s="71" t="inlineStr">
        <is>
          <t>Q3 2025</t>
        </is>
      </c>
      <c r="I209" s="73" t="n">
        <v>7193.72</v>
      </c>
      <c r="J209" s="73" t="n">
        <v>5011.01</v>
      </c>
      <c r="K209" s="73" t="n">
        <v>4426.16</v>
      </c>
      <c r="L209" s="163">
        <f>I209-J209</f>
        <v/>
      </c>
      <c r="M209" s="161">
        <f>IF(I209=0,0,ROUND((I209-J209)/I209,4))</f>
        <v/>
      </c>
      <c r="N209" s="107">
        <f>IF(I209=0,0,J209/I209)</f>
        <v/>
      </c>
      <c r="O209" s="108">
        <f>IF(L209&gt;=0,"Under","Over")</f>
        <v/>
      </c>
      <c r="P209" s="69">
        <f>IF(M209&lt;-0.05,"Watch","On Track")</f>
        <v/>
      </c>
    </row>
    <row r="210" ht="16" customHeight="1">
      <c r="A210" s="98" t="inlineStr">
        <is>
          <t>CC-00209</t>
        </is>
      </c>
      <c r="B210" s="99" t="inlineStr">
        <is>
          <t>EVT-2025-019</t>
        </is>
      </c>
      <c r="C210" s="100" t="inlineStr">
        <is>
          <t>Influximab Advisory Board London Sep 2025</t>
        </is>
      </c>
      <c r="D210" s="100" t="inlineStr">
        <is>
          <t>Immunology</t>
        </is>
      </c>
      <c r="E210" s="100" t="inlineStr">
        <is>
          <t>BU Immunology</t>
        </is>
      </c>
      <c r="F210" s="99" t="inlineStr">
        <is>
          <t>Miscellaneous</t>
        </is>
      </c>
      <c r="G210" s="99" t="inlineStr">
        <is>
          <t>Sep-2025</t>
        </is>
      </c>
      <c r="H210" s="99" t="inlineStr">
        <is>
          <t>Q3 2025</t>
        </is>
      </c>
      <c r="I210" s="101" t="n">
        <v>7193.72</v>
      </c>
      <c r="J210" s="101" t="n">
        <v>6613.64</v>
      </c>
      <c r="K210" s="101" t="n">
        <v>5434.08</v>
      </c>
      <c r="L210" s="165">
        <f>I210-J210</f>
        <v/>
      </c>
      <c r="M210" s="166">
        <f>IF(I210=0,0,ROUND((I210-J210)/I210,4))</f>
        <v/>
      </c>
      <c r="N210" s="104">
        <f>IF(I210=0,0,J210/I210)</f>
        <v/>
      </c>
      <c r="O210" s="105">
        <f>IF(L210&gt;=0,"Under","Over")</f>
        <v/>
      </c>
      <c r="P210" s="69">
        <f>IF(M210&lt;-0.05,"Watch","On Track")</f>
        <v/>
      </c>
    </row>
    <row r="211" ht="16" customHeight="1">
      <c r="A211" s="106" t="inlineStr">
        <is>
          <t>CC-00210</t>
        </is>
      </c>
      <c r="B211" s="71" t="inlineStr">
        <is>
          <t>EVT-2025-020</t>
        </is>
      </c>
      <c r="C211" s="70" t="inlineStr">
        <is>
          <t>Cognivex Symposium Istanbul Mar 2025</t>
        </is>
      </c>
      <c r="D211" s="70" t="inlineStr">
        <is>
          <t>Neurology</t>
        </is>
      </c>
      <c r="E211" s="70" t="inlineStr">
        <is>
          <t>BU Neuroscience</t>
        </is>
      </c>
      <c r="F211" s="71" t="inlineStr">
        <is>
          <t>Airfare</t>
        </is>
      </c>
      <c r="G211" s="71" t="inlineStr">
        <is>
          <t>Mar-2025</t>
        </is>
      </c>
      <c r="H211" s="71" t="inlineStr">
        <is>
          <t>Q1 2025</t>
        </is>
      </c>
      <c r="I211" s="73" t="n">
        <v>25911.64</v>
      </c>
      <c r="J211" s="73" t="n">
        <v>21088.23</v>
      </c>
      <c r="K211" s="73" t="n">
        <v>16836.38</v>
      </c>
      <c r="L211" s="163">
        <f>I211-J211</f>
        <v/>
      </c>
      <c r="M211" s="161">
        <f>IF(I211=0,0,ROUND((I211-J211)/I211,4))</f>
        <v/>
      </c>
      <c r="N211" s="107">
        <f>IF(I211=0,0,J211/I211)</f>
        <v/>
      </c>
      <c r="O211" s="108">
        <f>IF(L211&gt;=0,"Under","Over")</f>
        <v/>
      </c>
      <c r="P211" s="69">
        <f>IF(M211&lt;-0.05,"Watch","On Track")</f>
        <v/>
      </c>
    </row>
    <row r="212" ht="16" customHeight="1">
      <c r="A212" s="98" t="inlineStr">
        <is>
          <t>CC-00211</t>
        </is>
      </c>
      <c r="B212" s="99" t="inlineStr">
        <is>
          <t>EVT-2025-020</t>
        </is>
      </c>
      <c r="C212" s="100" t="inlineStr">
        <is>
          <t>Cognivex Symposium Istanbul Mar 2025</t>
        </is>
      </c>
      <c r="D212" s="100" t="inlineStr">
        <is>
          <t>Neurology</t>
        </is>
      </c>
      <c r="E212" s="100" t="inlineStr">
        <is>
          <t>BU Neuroscience</t>
        </is>
      </c>
      <c r="F212" s="99" t="inlineStr">
        <is>
          <t>Hotel</t>
        </is>
      </c>
      <c r="G212" s="99" t="inlineStr">
        <is>
          <t>Mar-2025</t>
        </is>
      </c>
      <c r="H212" s="99" t="inlineStr">
        <is>
          <t>Q1 2025</t>
        </is>
      </c>
      <c r="I212" s="101" t="n">
        <v>46640.96</v>
      </c>
      <c r="J212" s="101" t="n">
        <v>37332.2</v>
      </c>
      <c r="K212" s="101" t="n">
        <v>27200.82</v>
      </c>
      <c r="L212" s="165">
        <f>I212-J212</f>
        <v/>
      </c>
      <c r="M212" s="166">
        <f>IF(I212=0,0,ROUND((I212-J212)/I212,4))</f>
        <v/>
      </c>
      <c r="N212" s="104">
        <f>IF(I212=0,0,J212/I212)</f>
        <v/>
      </c>
      <c r="O212" s="105">
        <f>IF(L212&gt;=0,"Under","Over")</f>
        <v/>
      </c>
      <c r="P212" s="69">
        <f>IF(M212&lt;-0.05,"Watch","On Track")</f>
        <v/>
      </c>
    </row>
    <row r="213" ht="16" customHeight="1">
      <c r="A213" s="106" t="inlineStr">
        <is>
          <t>CC-00212</t>
        </is>
      </c>
      <c r="B213" s="71" t="inlineStr">
        <is>
          <t>EVT-2025-020</t>
        </is>
      </c>
      <c r="C213" s="70" t="inlineStr">
        <is>
          <t>Cognivex Symposium Istanbul Mar 2025</t>
        </is>
      </c>
      <c r="D213" s="70" t="inlineStr">
        <is>
          <t>Neurology</t>
        </is>
      </c>
      <c r="E213" s="70" t="inlineStr">
        <is>
          <t>BU Neuroscience</t>
        </is>
      </c>
      <c r="F213" s="71" t="inlineStr">
        <is>
          <t>Venue</t>
        </is>
      </c>
      <c r="G213" s="71" t="inlineStr">
        <is>
          <t>Mar-2025</t>
        </is>
      </c>
      <c r="H213" s="71" t="inlineStr">
        <is>
          <t>Q1 2025</t>
        </is>
      </c>
      <c r="I213" s="73" t="n">
        <v>38867.47</v>
      </c>
      <c r="J213" s="73" t="n">
        <v>42398.29</v>
      </c>
      <c r="K213" s="73" t="n">
        <v>35751.77</v>
      </c>
      <c r="L213" s="158">
        <f>I213-J213</f>
        <v/>
      </c>
      <c r="M213" s="159">
        <f>IF(I213=0,0,ROUND((I213-J213)/I213,4))</f>
        <v/>
      </c>
      <c r="N213" s="107">
        <f>IF(I213=0,0,J213/I213)</f>
        <v/>
      </c>
      <c r="O213" s="112">
        <f>IF(L213&gt;=0,"Under","Over")</f>
        <v/>
      </c>
      <c r="P213" s="76">
        <f>IF(M213&lt;-0.05,"Watch","On Track")</f>
        <v/>
      </c>
    </row>
    <row r="214" ht="16" customHeight="1">
      <c r="A214" s="98" t="inlineStr">
        <is>
          <t>CC-00213</t>
        </is>
      </c>
      <c r="B214" s="99" t="inlineStr">
        <is>
          <t>EVT-2025-020</t>
        </is>
      </c>
      <c r="C214" s="100" t="inlineStr">
        <is>
          <t>Cognivex Symposium Istanbul Mar 2025</t>
        </is>
      </c>
      <c r="D214" s="100" t="inlineStr">
        <is>
          <t>Neurology</t>
        </is>
      </c>
      <c r="E214" s="100" t="inlineStr">
        <is>
          <t>BU Neuroscience</t>
        </is>
      </c>
      <c r="F214" s="99" t="inlineStr">
        <is>
          <t>F&amp;B</t>
        </is>
      </c>
      <c r="G214" s="99" t="inlineStr">
        <is>
          <t>Mar-2025</t>
        </is>
      </c>
      <c r="H214" s="99" t="inlineStr">
        <is>
          <t>Q1 2025</t>
        </is>
      </c>
      <c r="I214" s="101" t="n">
        <v>31093.97</v>
      </c>
      <c r="J214" s="101" t="n">
        <v>33205.65</v>
      </c>
      <c r="K214" s="101" t="n">
        <v>23311.99</v>
      </c>
      <c r="L214" s="167">
        <f>I214-J214</f>
        <v/>
      </c>
      <c r="M214" s="168">
        <f>IF(I214=0,0,ROUND((I214-J214)/I214,4))</f>
        <v/>
      </c>
      <c r="N214" s="104">
        <f>IF(I214=0,0,J214/I214)</f>
        <v/>
      </c>
      <c r="O214" s="111">
        <f>IF(L214&gt;=0,"Under","Over")</f>
        <v/>
      </c>
      <c r="P214" s="76">
        <f>IF(M214&lt;-0.05,"Watch","On Track")</f>
        <v/>
      </c>
    </row>
    <row r="215" ht="16" customHeight="1">
      <c r="A215" s="106" t="inlineStr">
        <is>
          <t>CC-00214</t>
        </is>
      </c>
      <c r="B215" s="71" t="inlineStr">
        <is>
          <t>EVT-2025-020</t>
        </is>
      </c>
      <c r="C215" s="70" t="inlineStr">
        <is>
          <t>Cognivex Symposium Istanbul Mar 2025</t>
        </is>
      </c>
      <c r="D215" s="70" t="inlineStr">
        <is>
          <t>Neurology</t>
        </is>
      </c>
      <c r="E215" s="70" t="inlineStr">
        <is>
          <t>BU Neuroscience</t>
        </is>
      </c>
      <c r="F215" s="71" t="inlineStr">
        <is>
          <t>Logistics</t>
        </is>
      </c>
      <c r="G215" s="71" t="inlineStr">
        <is>
          <t>Mar-2025</t>
        </is>
      </c>
      <c r="H215" s="71" t="inlineStr">
        <is>
          <t>Q1 2025</t>
        </is>
      </c>
      <c r="I215" s="73" t="n">
        <v>15546.99</v>
      </c>
      <c r="J215" s="73" t="n">
        <v>12309.91</v>
      </c>
      <c r="K215" s="73" t="n">
        <v>10266.72</v>
      </c>
      <c r="L215" s="163">
        <f>I215-J215</f>
        <v/>
      </c>
      <c r="M215" s="161">
        <f>IF(I215=0,0,ROUND((I215-J215)/I215,4))</f>
        <v/>
      </c>
      <c r="N215" s="107">
        <f>IF(I215=0,0,J215/I215)</f>
        <v/>
      </c>
      <c r="O215" s="108">
        <f>IF(L215&gt;=0,"Under","Over")</f>
        <v/>
      </c>
      <c r="P215" s="69">
        <f>IF(M215&lt;-0.05,"Watch","On Track")</f>
        <v/>
      </c>
    </row>
    <row r="216" ht="16" customHeight="1">
      <c r="A216" s="98" t="inlineStr">
        <is>
          <t>CC-00215</t>
        </is>
      </c>
      <c r="B216" s="99" t="inlineStr">
        <is>
          <t>EVT-2025-020</t>
        </is>
      </c>
      <c r="C216" s="100" t="inlineStr">
        <is>
          <t>Cognivex Symposium Istanbul Mar 2025</t>
        </is>
      </c>
      <c r="D216" s="100" t="inlineStr">
        <is>
          <t>Neurology</t>
        </is>
      </c>
      <c r="E216" s="100" t="inlineStr">
        <is>
          <t>BU Neuroscience</t>
        </is>
      </c>
      <c r="F216" s="99" t="inlineStr">
        <is>
          <t>AV &amp; Technology</t>
        </is>
      </c>
      <c r="G216" s="99" t="inlineStr">
        <is>
          <t>Mar-2025</t>
        </is>
      </c>
      <c r="H216" s="99" t="inlineStr">
        <is>
          <t>Q1 2025</t>
        </is>
      </c>
      <c r="I216" s="101" t="n">
        <v>20729.32</v>
      </c>
      <c r="J216" s="101" t="n">
        <v>15204.9</v>
      </c>
      <c r="K216" s="101" t="n">
        <v>12147.01</v>
      </c>
      <c r="L216" s="165">
        <f>I216-J216</f>
        <v/>
      </c>
      <c r="M216" s="166">
        <f>IF(I216=0,0,ROUND((I216-J216)/I216,4))</f>
        <v/>
      </c>
      <c r="N216" s="104">
        <f>IF(I216=0,0,J216/I216)</f>
        <v/>
      </c>
      <c r="O216" s="105">
        <f>IF(L216&gt;=0,"Under","Over")</f>
        <v/>
      </c>
      <c r="P216" s="69">
        <f>IF(M216&lt;-0.05,"Watch","On Track")</f>
        <v/>
      </c>
    </row>
    <row r="217" ht="16" customHeight="1">
      <c r="A217" s="106" t="inlineStr">
        <is>
          <t>CC-00216</t>
        </is>
      </c>
      <c r="B217" s="71" t="inlineStr">
        <is>
          <t>EVT-2025-020</t>
        </is>
      </c>
      <c r="C217" s="70" t="inlineStr">
        <is>
          <t>Cognivex Symposium Istanbul Mar 2025</t>
        </is>
      </c>
      <c r="D217" s="70" t="inlineStr">
        <is>
          <t>Neurology</t>
        </is>
      </c>
      <c r="E217" s="70" t="inlineStr">
        <is>
          <t>BU Neuroscience</t>
        </is>
      </c>
      <c r="F217" s="71" t="inlineStr">
        <is>
          <t>Agency Fees</t>
        </is>
      </c>
      <c r="G217" s="71" t="inlineStr">
        <is>
          <t>Mar-2025</t>
        </is>
      </c>
      <c r="H217" s="71" t="inlineStr">
        <is>
          <t>Q1 2025</t>
        </is>
      </c>
      <c r="I217" s="73" t="n">
        <v>36276.3</v>
      </c>
      <c r="J217" s="73" t="n">
        <v>32330.54</v>
      </c>
      <c r="K217" s="73" t="n">
        <v>28187.81</v>
      </c>
      <c r="L217" s="163">
        <f>I217-J217</f>
        <v/>
      </c>
      <c r="M217" s="161">
        <f>IF(I217=0,0,ROUND((I217-J217)/I217,4))</f>
        <v/>
      </c>
      <c r="N217" s="107">
        <f>IF(I217=0,0,J217/I217)</f>
        <v/>
      </c>
      <c r="O217" s="108">
        <f>IF(L217&gt;=0,"Under","Over")</f>
        <v/>
      </c>
      <c r="P217" s="69">
        <f>IF(M217&lt;-0.05,"Watch","On Track")</f>
        <v/>
      </c>
    </row>
    <row r="218" ht="16" customHeight="1">
      <c r="A218" s="98" t="inlineStr">
        <is>
          <t>CC-00217</t>
        </is>
      </c>
      <c r="B218" s="99" t="inlineStr">
        <is>
          <t>EVT-2025-020</t>
        </is>
      </c>
      <c r="C218" s="100" t="inlineStr">
        <is>
          <t>Cognivex Symposium Istanbul Mar 2025</t>
        </is>
      </c>
      <c r="D218" s="100" t="inlineStr">
        <is>
          <t>Neurology</t>
        </is>
      </c>
      <c r="E218" s="100" t="inlineStr">
        <is>
          <t>BU Neuroscience</t>
        </is>
      </c>
      <c r="F218" s="99" t="inlineStr">
        <is>
          <t>Speaker Fees</t>
        </is>
      </c>
      <c r="G218" s="99" t="inlineStr">
        <is>
          <t>Mar-2025</t>
        </is>
      </c>
      <c r="H218" s="99" t="inlineStr">
        <is>
          <t>Q1 2025</t>
        </is>
      </c>
      <c r="I218" s="101" t="n">
        <v>25911.64</v>
      </c>
      <c r="J218" s="101" t="n">
        <v>18935.62</v>
      </c>
      <c r="K218" s="101" t="n">
        <v>15297.44</v>
      </c>
      <c r="L218" s="165">
        <f>I218-J218</f>
        <v/>
      </c>
      <c r="M218" s="166">
        <f>IF(I218=0,0,ROUND((I218-J218)/I218,4))</f>
        <v/>
      </c>
      <c r="N218" s="104">
        <f>IF(I218=0,0,J218/I218)</f>
        <v/>
      </c>
      <c r="O218" s="105">
        <f>IF(L218&gt;=0,"Under","Over")</f>
        <v/>
      </c>
      <c r="P218" s="69">
        <f>IF(M218&lt;-0.05,"Watch","On Track")</f>
        <v/>
      </c>
    </row>
    <row r="219" ht="16" customHeight="1">
      <c r="A219" s="106" t="inlineStr">
        <is>
          <t>CC-00218</t>
        </is>
      </c>
      <c r="B219" s="71" t="inlineStr">
        <is>
          <t>EVT-2025-020</t>
        </is>
      </c>
      <c r="C219" s="70" t="inlineStr">
        <is>
          <t>Cognivex Symposium Istanbul Mar 2025</t>
        </is>
      </c>
      <c r="D219" s="70" t="inlineStr">
        <is>
          <t>Neurology</t>
        </is>
      </c>
      <c r="E219" s="70" t="inlineStr">
        <is>
          <t>BU Neuroscience</t>
        </is>
      </c>
      <c r="F219" s="71" t="inlineStr">
        <is>
          <t>Translation</t>
        </is>
      </c>
      <c r="G219" s="71" t="inlineStr">
        <is>
          <t>Mar-2025</t>
        </is>
      </c>
      <c r="H219" s="71" t="inlineStr">
        <is>
          <t>Q1 2025</t>
        </is>
      </c>
      <c r="I219" s="73" t="n">
        <v>7773.49</v>
      </c>
      <c r="J219" s="73" t="n">
        <v>5582.54</v>
      </c>
      <c r="K219" s="73" t="n">
        <v>5026.16</v>
      </c>
      <c r="L219" s="163">
        <f>I219-J219</f>
        <v/>
      </c>
      <c r="M219" s="161">
        <f>IF(I219=0,0,ROUND((I219-J219)/I219,4))</f>
        <v/>
      </c>
      <c r="N219" s="107">
        <f>IF(I219=0,0,J219/I219)</f>
        <v/>
      </c>
      <c r="O219" s="108">
        <f>IF(L219&gt;=0,"Under","Over")</f>
        <v/>
      </c>
      <c r="P219" s="69">
        <f>IF(M219&lt;-0.05,"Watch","On Track")</f>
        <v/>
      </c>
    </row>
    <row r="220" ht="16" customHeight="1">
      <c r="A220" s="98" t="inlineStr">
        <is>
          <t>CC-00219</t>
        </is>
      </c>
      <c r="B220" s="99" t="inlineStr">
        <is>
          <t>EVT-2025-020</t>
        </is>
      </c>
      <c r="C220" s="100" t="inlineStr">
        <is>
          <t>Cognivex Symposium Istanbul Mar 2025</t>
        </is>
      </c>
      <c r="D220" s="100" t="inlineStr">
        <is>
          <t>Neurology</t>
        </is>
      </c>
      <c r="E220" s="100" t="inlineStr">
        <is>
          <t>BU Neuroscience</t>
        </is>
      </c>
      <c r="F220" s="99" t="inlineStr">
        <is>
          <t>Print &amp; Production</t>
        </is>
      </c>
      <c r="G220" s="99" t="inlineStr">
        <is>
          <t>Mar-2025</t>
        </is>
      </c>
      <c r="H220" s="99" t="inlineStr">
        <is>
          <t>Q1 2025</t>
        </is>
      </c>
      <c r="I220" s="101" t="n">
        <v>5182.33</v>
      </c>
      <c r="J220" s="101" t="n">
        <v>4315.31</v>
      </c>
      <c r="K220" s="101" t="n">
        <v>3227.49</v>
      </c>
      <c r="L220" s="165">
        <f>I220-J220</f>
        <v/>
      </c>
      <c r="M220" s="166">
        <f>IF(I220=0,0,ROUND((I220-J220)/I220,4))</f>
        <v/>
      </c>
      <c r="N220" s="104">
        <f>IF(I220=0,0,J220/I220)</f>
        <v/>
      </c>
      <c r="O220" s="105">
        <f>IF(L220&gt;=0,"Under","Over")</f>
        <v/>
      </c>
      <c r="P220" s="69">
        <f>IF(M220&lt;-0.05,"Watch","On Track")</f>
        <v/>
      </c>
    </row>
    <row r="221" ht="16" customHeight="1">
      <c r="A221" s="106" t="inlineStr">
        <is>
          <t>CC-00220</t>
        </is>
      </c>
      <c r="B221" s="71" t="inlineStr">
        <is>
          <t>EVT-2025-020</t>
        </is>
      </c>
      <c r="C221" s="70" t="inlineStr">
        <is>
          <t>Cognivex Symposium Istanbul Mar 2025</t>
        </is>
      </c>
      <c r="D221" s="70" t="inlineStr">
        <is>
          <t>Neurology</t>
        </is>
      </c>
      <c r="E221" s="70" t="inlineStr">
        <is>
          <t>BU Neuroscience</t>
        </is>
      </c>
      <c r="F221" s="71" t="inlineStr">
        <is>
          <t>Miscellaneous</t>
        </is>
      </c>
      <c r="G221" s="71" t="inlineStr">
        <is>
          <t>Mar-2025</t>
        </is>
      </c>
      <c r="H221" s="71" t="inlineStr">
        <is>
          <t>Q1 2025</t>
        </is>
      </c>
      <c r="I221" s="73" t="n">
        <v>5182.33</v>
      </c>
      <c r="J221" s="73" t="n">
        <v>4887.13</v>
      </c>
      <c r="K221" s="73" t="n">
        <v>4774.39</v>
      </c>
      <c r="L221" s="163">
        <f>I221-J221</f>
        <v/>
      </c>
      <c r="M221" s="161">
        <f>IF(I221=0,0,ROUND((I221-J221)/I221,4))</f>
        <v/>
      </c>
      <c r="N221" s="107">
        <f>IF(I221=0,0,J221/I221)</f>
        <v/>
      </c>
      <c r="O221" s="108">
        <f>IF(L221&gt;=0,"Under","Over")</f>
        <v/>
      </c>
      <c r="P221" s="69">
        <f>IF(M221&lt;-0.05,"Watch","On Track")</f>
        <v/>
      </c>
    </row>
    <row r="222" ht="16" customHeight="1">
      <c r="A222" s="98" t="inlineStr">
        <is>
          <t>CC-00221</t>
        </is>
      </c>
      <c r="B222" s="99" t="inlineStr">
        <is>
          <t>EVT-2025-021</t>
        </is>
      </c>
      <c r="C222" s="100" t="inlineStr">
        <is>
          <t>Influximab KOL Meeting Copenhagen Jul 2025</t>
        </is>
      </c>
      <c r="D222" s="100" t="inlineStr">
        <is>
          <t>Immunology</t>
        </is>
      </c>
      <c r="E222" s="100" t="inlineStr">
        <is>
          <t>BU Immunology</t>
        </is>
      </c>
      <c r="F222" s="99" t="inlineStr">
        <is>
          <t>Airfare</t>
        </is>
      </c>
      <c r="G222" s="99" t="inlineStr">
        <is>
          <t>Jul-2025</t>
        </is>
      </c>
      <c r="H222" s="99" t="inlineStr">
        <is>
          <t>Q3 2025</t>
        </is>
      </c>
      <c r="I222" s="101" t="n">
        <v>23669.77</v>
      </c>
      <c r="J222" s="101" t="n">
        <v>24708.89</v>
      </c>
      <c r="K222" s="101" t="n">
        <v>23002.8</v>
      </c>
      <c r="L222" s="167">
        <f>I222-J222</f>
        <v/>
      </c>
      <c r="M222" s="166">
        <f>IF(I222=0,0,ROUND((I222-J222)/I222,4))</f>
        <v/>
      </c>
      <c r="N222" s="104">
        <f>IF(I222=0,0,J222/I222)</f>
        <v/>
      </c>
      <c r="O222" s="111">
        <f>IF(L222&gt;=0,"Under","Over")</f>
        <v/>
      </c>
      <c r="P222" s="69">
        <f>IF(M222&lt;-0.05,"Watch","On Track")</f>
        <v/>
      </c>
    </row>
    <row r="223" ht="16" customHeight="1">
      <c r="A223" s="106" t="inlineStr">
        <is>
          <t>CC-00222</t>
        </is>
      </c>
      <c r="B223" s="71" t="inlineStr">
        <is>
          <t>EVT-2025-021</t>
        </is>
      </c>
      <c r="C223" s="70" t="inlineStr">
        <is>
          <t>Influximab KOL Meeting Copenhagen Jul 2025</t>
        </is>
      </c>
      <c r="D223" s="70" t="inlineStr">
        <is>
          <t>Immunology</t>
        </is>
      </c>
      <c r="E223" s="70" t="inlineStr">
        <is>
          <t>BU Immunology</t>
        </is>
      </c>
      <c r="F223" s="71" t="inlineStr">
        <is>
          <t>Hotel</t>
        </is>
      </c>
      <c r="G223" s="71" t="inlineStr">
        <is>
          <t>Jul-2025</t>
        </is>
      </c>
      <c r="H223" s="71" t="inlineStr">
        <is>
          <t>Q3 2025</t>
        </is>
      </c>
      <c r="I223" s="73" t="n">
        <v>42605.59</v>
      </c>
      <c r="J223" s="73" t="n">
        <v>40268.47</v>
      </c>
      <c r="K223" s="73" t="n">
        <v>35903.91</v>
      </c>
      <c r="L223" s="163">
        <f>I223-J223</f>
        <v/>
      </c>
      <c r="M223" s="161">
        <f>IF(I223=0,0,ROUND((I223-J223)/I223,4))</f>
        <v/>
      </c>
      <c r="N223" s="107">
        <f>IF(I223=0,0,J223/I223)</f>
        <v/>
      </c>
      <c r="O223" s="108">
        <f>IF(L223&gt;=0,"Under","Over")</f>
        <v/>
      </c>
      <c r="P223" s="69">
        <f>IF(M223&lt;-0.05,"Watch","On Track")</f>
        <v/>
      </c>
    </row>
    <row r="224" ht="16" customHeight="1">
      <c r="A224" s="98" t="inlineStr">
        <is>
          <t>CC-00223</t>
        </is>
      </c>
      <c r="B224" s="99" t="inlineStr">
        <is>
          <t>EVT-2025-021</t>
        </is>
      </c>
      <c r="C224" s="100" t="inlineStr">
        <is>
          <t>Influximab KOL Meeting Copenhagen Jul 2025</t>
        </is>
      </c>
      <c r="D224" s="100" t="inlineStr">
        <is>
          <t>Immunology</t>
        </is>
      </c>
      <c r="E224" s="100" t="inlineStr">
        <is>
          <t>BU Immunology</t>
        </is>
      </c>
      <c r="F224" s="99" t="inlineStr">
        <is>
          <t>Venue</t>
        </is>
      </c>
      <c r="G224" s="99" t="inlineStr">
        <is>
          <t>Jul-2025</t>
        </is>
      </c>
      <c r="H224" s="99" t="inlineStr">
        <is>
          <t>Q3 2025</t>
        </is>
      </c>
      <c r="I224" s="101" t="n">
        <v>35504.66</v>
      </c>
      <c r="J224" s="101" t="n">
        <v>38001.27</v>
      </c>
      <c r="K224" s="101" t="n">
        <v>30791.03</v>
      </c>
      <c r="L224" s="167">
        <f>I224-J224</f>
        <v/>
      </c>
      <c r="M224" s="168">
        <f>IF(I224=0,0,ROUND((I224-J224)/I224,4))</f>
        <v/>
      </c>
      <c r="N224" s="104">
        <f>IF(I224=0,0,J224/I224)</f>
        <v/>
      </c>
      <c r="O224" s="111">
        <f>IF(L224&gt;=0,"Under","Over")</f>
        <v/>
      </c>
      <c r="P224" s="76">
        <f>IF(M224&lt;-0.05,"Watch","On Track")</f>
        <v/>
      </c>
    </row>
    <row r="225" ht="16" customHeight="1">
      <c r="A225" s="106" t="inlineStr">
        <is>
          <t>CC-00224</t>
        </is>
      </c>
      <c r="B225" s="71" t="inlineStr">
        <is>
          <t>EVT-2025-021</t>
        </is>
      </c>
      <c r="C225" s="70" t="inlineStr">
        <is>
          <t>Influximab KOL Meeting Copenhagen Jul 2025</t>
        </is>
      </c>
      <c r="D225" s="70" t="inlineStr">
        <is>
          <t>Immunology</t>
        </is>
      </c>
      <c r="E225" s="70" t="inlineStr">
        <is>
          <t>BU Immunology</t>
        </is>
      </c>
      <c r="F225" s="71" t="inlineStr">
        <is>
          <t>F&amp;B</t>
        </is>
      </c>
      <c r="G225" s="71" t="inlineStr">
        <is>
          <t>Jul-2025</t>
        </is>
      </c>
      <c r="H225" s="71" t="inlineStr">
        <is>
          <t>Q3 2025</t>
        </is>
      </c>
      <c r="I225" s="73" t="n">
        <v>28403.73</v>
      </c>
      <c r="J225" s="73" t="n">
        <v>20178.71</v>
      </c>
      <c r="K225" s="73" t="n">
        <v>19920.59</v>
      </c>
      <c r="L225" s="163">
        <f>I225-J225</f>
        <v/>
      </c>
      <c r="M225" s="161">
        <f>IF(I225=0,0,ROUND((I225-J225)/I225,4))</f>
        <v/>
      </c>
      <c r="N225" s="107">
        <f>IF(I225=0,0,J225/I225)</f>
        <v/>
      </c>
      <c r="O225" s="108">
        <f>IF(L225&gt;=0,"Under","Over")</f>
        <v/>
      </c>
      <c r="P225" s="69">
        <f>IF(M225&lt;-0.05,"Watch","On Track")</f>
        <v/>
      </c>
    </row>
    <row r="226" ht="16" customHeight="1">
      <c r="A226" s="98" t="inlineStr">
        <is>
          <t>CC-00225</t>
        </is>
      </c>
      <c r="B226" s="99" t="inlineStr">
        <is>
          <t>EVT-2025-021</t>
        </is>
      </c>
      <c r="C226" s="100" t="inlineStr">
        <is>
          <t>Influximab KOL Meeting Copenhagen Jul 2025</t>
        </is>
      </c>
      <c r="D226" s="100" t="inlineStr">
        <is>
          <t>Immunology</t>
        </is>
      </c>
      <c r="E226" s="100" t="inlineStr">
        <is>
          <t>BU Immunology</t>
        </is>
      </c>
      <c r="F226" s="99" t="inlineStr">
        <is>
          <t>Logistics</t>
        </is>
      </c>
      <c r="G226" s="99" t="inlineStr">
        <is>
          <t>Jul-2025</t>
        </is>
      </c>
      <c r="H226" s="99" t="inlineStr">
        <is>
          <t>Q3 2025</t>
        </is>
      </c>
      <c r="I226" s="101" t="n">
        <v>14201.86</v>
      </c>
      <c r="J226" s="101" t="n">
        <v>11916.65</v>
      </c>
      <c r="K226" s="101" t="n">
        <v>9968.200000000001</v>
      </c>
      <c r="L226" s="165">
        <f>I226-J226</f>
        <v/>
      </c>
      <c r="M226" s="166">
        <f>IF(I226=0,0,ROUND((I226-J226)/I226,4))</f>
        <v/>
      </c>
      <c r="N226" s="104">
        <f>IF(I226=0,0,J226/I226)</f>
        <v/>
      </c>
      <c r="O226" s="105">
        <f>IF(L226&gt;=0,"Under","Over")</f>
        <v/>
      </c>
      <c r="P226" s="69">
        <f>IF(M226&lt;-0.05,"Watch","On Track")</f>
        <v/>
      </c>
    </row>
    <row r="227" ht="16" customHeight="1">
      <c r="A227" s="106" t="inlineStr">
        <is>
          <t>CC-00226</t>
        </is>
      </c>
      <c r="B227" s="71" t="inlineStr">
        <is>
          <t>EVT-2025-021</t>
        </is>
      </c>
      <c r="C227" s="70" t="inlineStr">
        <is>
          <t>Influximab KOL Meeting Copenhagen Jul 2025</t>
        </is>
      </c>
      <c r="D227" s="70" t="inlineStr">
        <is>
          <t>Immunology</t>
        </is>
      </c>
      <c r="E227" s="70" t="inlineStr">
        <is>
          <t>BU Immunology</t>
        </is>
      </c>
      <c r="F227" s="71" t="inlineStr">
        <is>
          <t>AV &amp; Technology</t>
        </is>
      </c>
      <c r="G227" s="71" t="inlineStr">
        <is>
          <t>Jul-2025</t>
        </is>
      </c>
      <c r="H227" s="71" t="inlineStr">
        <is>
          <t>Q3 2025</t>
        </is>
      </c>
      <c r="I227" s="73" t="n">
        <v>18935.82</v>
      </c>
      <c r="J227" s="73" t="n">
        <v>20723.72</v>
      </c>
      <c r="K227" s="73" t="n">
        <v>16829.47</v>
      </c>
      <c r="L227" s="158">
        <f>I227-J227</f>
        <v/>
      </c>
      <c r="M227" s="159">
        <f>IF(I227=0,0,ROUND((I227-J227)/I227,4))</f>
        <v/>
      </c>
      <c r="N227" s="107">
        <f>IF(I227=0,0,J227/I227)</f>
        <v/>
      </c>
      <c r="O227" s="112">
        <f>IF(L227&gt;=0,"Under","Over")</f>
        <v/>
      </c>
      <c r="P227" s="76">
        <f>IF(M227&lt;-0.05,"Watch","On Track")</f>
        <v/>
      </c>
    </row>
    <row r="228" ht="16" customHeight="1">
      <c r="A228" s="98" t="inlineStr">
        <is>
          <t>CC-00227</t>
        </is>
      </c>
      <c r="B228" s="99" t="inlineStr">
        <is>
          <t>EVT-2025-021</t>
        </is>
      </c>
      <c r="C228" s="100" t="inlineStr">
        <is>
          <t>Influximab KOL Meeting Copenhagen Jul 2025</t>
        </is>
      </c>
      <c r="D228" s="100" t="inlineStr">
        <is>
          <t>Immunology</t>
        </is>
      </c>
      <c r="E228" s="100" t="inlineStr">
        <is>
          <t>BU Immunology</t>
        </is>
      </c>
      <c r="F228" s="99" t="inlineStr">
        <is>
          <t>Agency Fees</t>
        </is>
      </c>
      <c r="G228" s="99" t="inlineStr">
        <is>
          <t>Jul-2025</t>
        </is>
      </c>
      <c r="H228" s="99" t="inlineStr">
        <is>
          <t>Q3 2025</t>
        </is>
      </c>
      <c r="I228" s="101" t="n">
        <v>33137.68</v>
      </c>
      <c r="J228" s="101" t="n">
        <v>31512.95</v>
      </c>
      <c r="K228" s="101" t="n">
        <v>30688.54</v>
      </c>
      <c r="L228" s="165">
        <f>I228-J228</f>
        <v/>
      </c>
      <c r="M228" s="166">
        <f>IF(I228=0,0,ROUND((I228-J228)/I228,4))</f>
        <v/>
      </c>
      <c r="N228" s="104">
        <f>IF(I228=0,0,J228/I228)</f>
        <v/>
      </c>
      <c r="O228" s="105">
        <f>IF(L228&gt;=0,"Under","Over")</f>
        <v/>
      </c>
      <c r="P228" s="69">
        <f>IF(M228&lt;-0.05,"Watch","On Track")</f>
        <v/>
      </c>
    </row>
    <row r="229" ht="16" customHeight="1">
      <c r="A229" s="106" t="inlineStr">
        <is>
          <t>CC-00228</t>
        </is>
      </c>
      <c r="B229" s="71" t="inlineStr">
        <is>
          <t>EVT-2025-021</t>
        </is>
      </c>
      <c r="C229" s="70" t="inlineStr">
        <is>
          <t>Influximab KOL Meeting Copenhagen Jul 2025</t>
        </is>
      </c>
      <c r="D229" s="70" t="inlineStr">
        <is>
          <t>Immunology</t>
        </is>
      </c>
      <c r="E229" s="70" t="inlineStr">
        <is>
          <t>BU Immunology</t>
        </is>
      </c>
      <c r="F229" s="71" t="inlineStr">
        <is>
          <t>Speaker Fees</t>
        </is>
      </c>
      <c r="G229" s="71" t="inlineStr">
        <is>
          <t>Jul-2025</t>
        </is>
      </c>
      <c r="H229" s="71" t="inlineStr">
        <is>
          <t>Q3 2025</t>
        </is>
      </c>
      <c r="I229" s="73" t="n">
        <v>23669.77</v>
      </c>
      <c r="J229" s="73" t="n">
        <v>23165.02</v>
      </c>
      <c r="K229" s="73" t="n">
        <v>21788.98</v>
      </c>
      <c r="L229" s="163">
        <f>I229-J229</f>
        <v/>
      </c>
      <c r="M229" s="161">
        <f>IF(I229=0,0,ROUND((I229-J229)/I229,4))</f>
        <v/>
      </c>
      <c r="N229" s="107">
        <f>IF(I229=0,0,J229/I229)</f>
        <v/>
      </c>
      <c r="O229" s="108">
        <f>IF(L229&gt;=0,"Under","Over")</f>
        <v/>
      </c>
      <c r="P229" s="69">
        <f>IF(M229&lt;-0.05,"Watch","On Track")</f>
        <v/>
      </c>
    </row>
    <row r="230" ht="16" customHeight="1">
      <c r="A230" s="98" t="inlineStr">
        <is>
          <t>CC-00229</t>
        </is>
      </c>
      <c r="B230" s="99" t="inlineStr">
        <is>
          <t>EVT-2025-021</t>
        </is>
      </c>
      <c r="C230" s="100" t="inlineStr">
        <is>
          <t>Influximab KOL Meeting Copenhagen Jul 2025</t>
        </is>
      </c>
      <c r="D230" s="100" t="inlineStr">
        <is>
          <t>Immunology</t>
        </is>
      </c>
      <c r="E230" s="100" t="inlineStr">
        <is>
          <t>BU Immunology</t>
        </is>
      </c>
      <c r="F230" s="99" t="inlineStr">
        <is>
          <t>Translation</t>
        </is>
      </c>
      <c r="G230" s="99" t="inlineStr">
        <is>
          <t>Jul-2025</t>
        </is>
      </c>
      <c r="H230" s="99" t="inlineStr">
        <is>
          <t>Q3 2025</t>
        </is>
      </c>
      <c r="I230" s="101" t="n">
        <v>7100.93</v>
      </c>
      <c r="J230" s="101" t="n">
        <v>7191.83</v>
      </c>
      <c r="K230" s="101" t="n">
        <v>6678.03</v>
      </c>
      <c r="L230" s="167">
        <f>I230-J230</f>
        <v/>
      </c>
      <c r="M230" s="166">
        <f>IF(I230=0,0,ROUND((I230-J230)/I230,4))</f>
        <v/>
      </c>
      <c r="N230" s="104">
        <f>IF(I230=0,0,J230/I230)</f>
        <v/>
      </c>
      <c r="O230" s="111">
        <f>IF(L230&gt;=0,"Under","Over")</f>
        <v/>
      </c>
      <c r="P230" s="69">
        <f>IF(M230&lt;-0.05,"Watch","On Track")</f>
        <v/>
      </c>
    </row>
    <row r="231" ht="16" customHeight="1">
      <c r="A231" s="106" t="inlineStr">
        <is>
          <t>CC-00230</t>
        </is>
      </c>
      <c r="B231" s="71" t="inlineStr">
        <is>
          <t>EVT-2025-021</t>
        </is>
      </c>
      <c r="C231" s="70" t="inlineStr">
        <is>
          <t>Influximab KOL Meeting Copenhagen Jul 2025</t>
        </is>
      </c>
      <c r="D231" s="70" t="inlineStr">
        <is>
          <t>Immunology</t>
        </is>
      </c>
      <c r="E231" s="70" t="inlineStr">
        <is>
          <t>BU Immunology</t>
        </is>
      </c>
      <c r="F231" s="71" t="inlineStr">
        <is>
          <t>Print &amp; Production</t>
        </is>
      </c>
      <c r="G231" s="71" t="inlineStr">
        <is>
          <t>Jul-2025</t>
        </is>
      </c>
      <c r="H231" s="71" t="inlineStr">
        <is>
          <t>Q3 2025</t>
        </is>
      </c>
      <c r="I231" s="73" t="n">
        <v>4733.95</v>
      </c>
      <c r="J231" s="73" t="n">
        <v>4450.72</v>
      </c>
      <c r="K231" s="73" t="n">
        <v>3911.05</v>
      </c>
      <c r="L231" s="163">
        <f>I231-J231</f>
        <v/>
      </c>
      <c r="M231" s="161">
        <f>IF(I231=0,0,ROUND((I231-J231)/I231,4))</f>
        <v/>
      </c>
      <c r="N231" s="107">
        <f>IF(I231=0,0,J231/I231)</f>
        <v/>
      </c>
      <c r="O231" s="108">
        <f>IF(L231&gt;=0,"Under","Over")</f>
        <v/>
      </c>
      <c r="P231" s="69">
        <f>IF(M231&lt;-0.05,"Watch","On Track")</f>
        <v/>
      </c>
    </row>
    <row r="232" ht="16" customHeight="1">
      <c r="A232" s="98" t="inlineStr">
        <is>
          <t>CC-00231</t>
        </is>
      </c>
      <c r="B232" s="99" t="inlineStr">
        <is>
          <t>EVT-2025-021</t>
        </is>
      </c>
      <c r="C232" s="100" t="inlineStr">
        <is>
          <t>Influximab KOL Meeting Copenhagen Jul 2025</t>
        </is>
      </c>
      <c r="D232" s="100" t="inlineStr">
        <is>
          <t>Immunology</t>
        </is>
      </c>
      <c r="E232" s="100" t="inlineStr">
        <is>
          <t>BU Immunology</t>
        </is>
      </c>
      <c r="F232" s="99" t="inlineStr">
        <is>
          <t>Miscellaneous</t>
        </is>
      </c>
      <c r="G232" s="99" t="inlineStr">
        <is>
          <t>Jul-2025</t>
        </is>
      </c>
      <c r="H232" s="99" t="inlineStr">
        <is>
          <t>Q3 2025</t>
        </is>
      </c>
      <c r="I232" s="101" t="n">
        <v>4733.95</v>
      </c>
      <c r="J232" s="101" t="n">
        <v>4704.06</v>
      </c>
      <c r="K232" s="101" t="n">
        <v>4034.45</v>
      </c>
      <c r="L232" s="165">
        <f>I232-J232</f>
        <v/>
      </c>
      <c r="M232" s="166">
        <f>IF(I232=0,0,ROUND((I232-J232)/I232,4))</f>
        <v/>
      </c>
      <c r="N232" s="104">
        <f>IF(I232=0,0,J232/I232)</f>
        <v/>
      </c>
      <c r="O232" s="105">
        <f>IF(L232&gt;=0,"Under","Over")</f>
        <v/>
      </c>
      <c r="P232" s="69">
        <f>IF(M232&lt;-0.05,"Watch","On Track")</f>
        <v/>
      </c>
    </row>
    <row r="233" ht="16" customHeight="1">
      <c r="A233" s="106" t="inlineStr">
        <is>
          <t>CC-00232</t>
        </is>
      </c>
      <c r="B233" s="71" t="inlineStr">
        <is>
          <t>EVT-2025-022</t>
        </is>
      </c>
      <c r="C233" s="70" t="inlineStr">
        <is>
          <t>Imunexal Advisory Board Stockholm Jan 2025</t>
        </is>
      </c>
      <c r="D233" s="70" t="inlineStr">
        <is>
          <t>Immunology</t>
        </is>
      </c>
      <c r="E233" s="70" t="inlineStr">
        <is>
          <t>BU Immunology</t>
        </is>
      </c>
      <c r="F233" s="71" t="inlineStr">
        <is>
          <t>Airfare</t>
        </is>
      </c>
      <c r="G233" s="71" t="inlineStr">
        <is>
          <t>Jan-2025</t>
        </is>
      </c>
      <c r="H233" s="71" t="inlineStr">
        <is>
          <t>Q1 2025</t>
        </is>
      </c>
      <c r="I233" s="73" t="n">
        <v>4967.1</v>
      </c>
      <c r="J233" s="73" t="n">
        <v>4292</v>
      </c>
      <c r="K233" s="73" t="n">
        <v>3470.23</v>
      </c>
      <c r="L233" s="163">
        <f>I233-J233</f>
        <v/>
      </c>
      <c r="M233" s="161">
        <f>IF(I233=0,0,ROUND((I233-J233)/I233,4))</f>
        <v/>
      </c>
      <c r="N233" s="107">
        <f>IF(I233=0,0,J233/I233)</f>
        <v/>
      </c>
      <c r="O233" s="108">
        <f>IF(L233&gt;=0,"Under","Over")</f>
        <v/>
      </c>
      <c r="P233" s="69">
        <f>IF(M233&lt;-0.05,"Watch","On Track")</f>
        <v/>
      </c>
    </row>
    <row r="234" ht="16" customHeight="1">
      <c r="A234" s="98" t="inlineStr">
        <is>
          <t>CC-00233</t>
        </is>
      </c>
      <c r="B234" s="99" t="inlineStr">
        <is>
          <t>EVT-2025-022</t>
        </is>
      </c>
      <c r="C234" s="100" t="inlineStr">
        <is>
          <t>Imunexal Advisory Board Stockholm Jan 2025</t>
        </is>
      </c>
      <c r="D234" s="100" t="inlineStr">
        <is>
          <t>Immunology</t>
        </is>
      </c>
      <c r="E234" s="100" t="inlineStr">
        <is>
          <t>BU Immunology</t>
        </is>
      </c>
      <c r="F234" s="99" t="inlineStr">
        <is>
          <t>Hotel</t>
        </is>
      </c>
      <c r="G234" s="99" t="inlineStr">
        <is>
          <t>Jan-2025</t>
        </is>
      </c>
      <c r="H234" s="99" t="inlineStr">
        <is>
          <t>Q1 2025</t>
        </is>
      </c>
      <c r="I234" s="101" t="n">
        <v>8940.77</v>
      </c>
      <c r="J234" s="101" t="n">
        <v>9464.9</v>
      </c>
      <c r="K234" s="101" t="n">
        <v>6944.04</v>
      </c>
      <c r="L234" s="167">
        <f>I234-J234</f>
        <v/>
      </c>
      <c r="M234" s="168">
        <f>IF(I234=0,0,ROUND((I234-J234)/I234,4))</f>
        <v/>
      </c>
      <c r="N234" s="104">
        <f>IF(I234=0,0,J234/I234)</f>
        <v/>
      </c>
      <c r="O234" s="111">
        <f>IF(L234&gt;=0,"Under","Over")</f>
        <v/>
      </c>
      <c r="P234" s="76">
        <f>IF(M234&lt;-0.05,"Watch","On Track")</f>
        <v/>
      </c>
    </row>
    <row r="235" ht="16" customHeight="1">
      <c r="A235" s="106" t="inlineStr">
        <is>
          <t>CC-00234</t>
        </is>
      </c>
      <c r="B235" s="71" t="inlineStr">
        <is>
          <t>EVT-2025-022</t>
        </is>
      </c>
      <c r="C235" s="70" t="inlineStr">
        <is>
          <t>Imunexal Advisory Board Stockholm Jan 2025</t>
        </is>
      </c>
      <c r="D235" s="70" t="inlineStr">
        <is>
          <t>Immunology</t>
        </is>
      </c>
      <c r="E235" s="70" t="inlineStr">
        <is>
          <t>BU Immunology</t>
        </is>
      </c>
      <c r="F235" s="71" t="inlineStr">
        <is>
          <t>Venue</t>
        </is>
      </c>
      <c r="G235" s="71" t="inlineStr">
        <is>
          <t>Jan-2025</t>
        </is>
      </c>
      <c r="H235" s="71" t="inlineStr">
        <is>
          <t>Q1 2025</t>
        </is>
      </c>
      <c r="I235" s="73" t="n">
        <v>7450.64</v>
      </c>
      <c r="J235" s="73" t="n">
        <v>7557.83</v>
      </c>
      <c r="K235" s="73" t="n">
        <v>7337.64</v>
      </c>
      <c r="L235" s="158">
        <f>I235-J235</f>
        <v/>
      </c>
      <c r="M235" s="161">
        <f>IF(I235=0,0,ROUND((I235-J235)/I235,4))</f>
        <v/>
      </c>
      <c r="N235" s="107">
        <f>IF(I235=0,0,J235/I235)</f>
        <v/>
      </c>
      <c r="O235" s="112">
        <f>IF(L235&gt;=0,"Under","Over")</f>
        <v/>
      </c>
      <c r="P235" s="69">
        <f>IF(M235&lt;-0.05,"Watch","On Track")</f>
        <v/>
      </c>
    </row>
    <row r="236" ht="16" customHeight="1">
      <c r="A236" s="98" t="inlineStr">
        <is>
          <t>CC-00235</t>
        </is>
      </c>
      <c r="B236" s="99" t="inlineStr">
        <is>
          <t>EVT-2025-022</t>
        </is>
      </c>
      <c r="C236" s="100" t="inlineStr">
        <is>
          <t>Imunexal Advisory Board Stockholm Jan 2025</t>
        </is>
      </c>
      <c r="D236" s="100" t="inlineStr">
        <is>
          <t>Immunology</t>
        </is>
      </c>
      <c r="E236" s="100" t="inlineStr">
        <is>
          <t>BU Immunology</t>
        </is>
      </c>
      <c r="F236" s="99" t="inlineStr">
        <is>
          <t>F&amp;B</t>
        </is>
      </c>
      <c r="G236" s="99" t="inlineStr">
        <is>
          <t>Jan-2025</t>
        </is>
      </c>
      <c r="H236" s="99" t="inlineStr">
        <is>
          <t>Q1 2025</t>
        </is>
      </c>
      <c r="I236" s="101" t="n">
        <v>5960.51</v>
      </c>
      <c r="J236" s="101" t="n">
        <v>4178.78</v>
      </c>
      <c r="K236" s="101" t="n">
        <v>3597.92</v>
      </c>
      <c r="L236" s="165">
        <f>I236-J236</f>
        <v/>
      </c>
      <c r="M236" s="166">
        <f>IF(I236=0,0,ROUND((I236-J236)/I236,4))</f>
        <v/>
      </c>
      <c r="N236" s="104">
        <f>IF(I236=0,0,J236/I236)</f>
        <v/>
      </c>
      <c r="O236" s="105">
        <f>IF(L236&gt;=0,"Under","Over")</f>
        <v/>
      </c>
      <c r="P236" s="69">
        <f>IF(M236&lt;-0.05,"Watch","On Track")</f>
        <v/>
      </c>
    </row>
    <row r="237" ht="16" customHeight="1">
      <c r="A237" s="106" t="inlineStr">
        <is>
          <t>CC-00236</t>
        </is>
      </c>
      <c r="B237" s="71" t="inlineStr">
        <is>
          <t>EVT-2025-022</t>
        </is>
      </c>
      <c r="C237" s="70" t="inlineStr">
        <is>
          <t>Imunexal Advisory Board Stockholm Jan 2025</t>
        </is>
      </c>
      <c r="D237" s="70" t="inlineStr">
        <is>
          <t>Immunology</t>
        </is>
      </c>
      <c r="E237" s="70" t="inlineStr">
        <is>
          <t>BU Immunology</t>
        </is>
      </c>
      <c r="F237" s="71" t="inlineStr">
        <is>
          <t>Logistics</t>
        </is>
      </c>
      <c r="G237" s="71" t="inlineStr">
        <is>
          <t>Jan-2025</t>
        </is>
      </c>
      <c r="H237" s="71" t="inlineStr">
        <is>
          <t>Q1 2025</t>
        </is>
      </c>
      <c r="I237" s="73" t="n">
        <v>2980.26</v>
      </c>
      <c r="J237" s="73" t="n">
        <v>2033.34</v>
      </c>
      <c r="K237" s="73" t="n">
        <v>1944.58</v>
      </c>
      <c r="L237" s="163">
        <f>I237-J237</f>
        <v/>
      </c>
      <c r="M237" s="161">
        <f>IF(I237=0,0,ROUND((I237-J237)/I237,4))</f>
        <v/>
      </c>
      <c r="N237" s="107">
        <f>IF(I237=0,0,J237/I237)</f>
        <v/>
      </c>
      <c r="O237" s="108">
        <f>IF(L237&gt;=0,"Under","Over")</f>
        <v/>
      </c>
      <c r="P237" s="69">
        <f>IF(M237&lt;-0.05,"Watch","On Track")</f>
        <v/>
      </c>
    </row>
    <row r="238" ht="16" customHeight="1">
      <c r="A238" s="98" t="inlineStr">
        <is>
          <t>CC-00237</t>
        </is>
      </c>
      <c r="B238" s="99" t="inlineStr">
        <is>
          <t>EVT-2025-022</t>
        </is>
      </c>
      <c r="C238" s="100" t="inlineStr">
        <is>
          <t>Imunexal Advisory Board Stockholm Jan 2025</t>
        </is>
      </c>
      <c r="D238" s="100" t="inlineStr">
        <is>
          <t>Immunology</t>
        </is>
      </c>
      <c r="E238" s="100" t="inlineStr">
        <is>
          <t>BU Immunology</t>
        </is>
      </c>
      <c r="F238" s="99" t="inlineStr">
        <is>
          <t>AV &amp; Technology</t>
        </is>
      </c>
      <c r="G238" s="99" t="inlineStr">
        <is>
          <t>Jan-2025</t>
        </is>
      </c>
      <c r="H238" s="99" t="inlineStr">
        <is>
          <t>Q1 2025</t>
        </is>
      </c>
      <c r="I238" s="101" t="n">
        <v>3973.68</v>
      </c>
      <c r="J238" s="101" t="n">
        <v>3262.07</v>
      </c>
      <c r="K238" s="101" t="n">
        <v>2949.2</v>
      </c>
      <c r="L238" s="165">
        <f>I238-J238</f>
        <v/>
      </c>
      <c r="M238" s="166">
        <f>IF(I238=0,0,ROUND((I238-J238)/I238,4))</f>
        <v/>
      </c>
      <c r="N238" s="104">
        <f>IF(I238=0,0,J238/I238)</f>
        <v/>
      </c>
      <c r="O238" s="105">
        <f>IF(L238&gt;=0,"Under","Over")</f>
        <v/>
      </c>
      <c r="P238" s="69">
        <f>IF(M238&lt;-0.05,"Watch","On Track")</f>
        <v/>
      </c>
    </row>
    <row r="239" ht="16" customHeight="1">
      <c r="A239" s="106" t="inlineStr">
        <is>
          <t>CC-00238</t>
        </is>
      </c>
      <c r="B239" s="71" t="inlineStr">
        <is>
          <t>EVT-2025-022</t>
        </is>
      </c>
      <c r="C239" s="70" t="inlineStr">
        <is>
          <t>Imunexal Advisory Board Stockholm Jan 2025</t>
        </is>
      </c>
      <c r="D239" s="70" t="inlineStr">
        <is>
          <t>Immunology</t>
        </is>
      </c>
      <c r="E239" s="70" t="inlineStr">
        <is>
          <t>BU Immunology</t>
        </is>
      </c>
      <c r="F239" s="71" t="inlineStr">
        <is>
          <t>Agency Fees</t>
        </is>
      </c>
      <c r="G239" s="71" t="inlineStr">
        <is>
          <t>Jan-2025</t>
        </is>
      </c>
      <c r="H239" s="71" t="inlineStr">
        <is>
          <t>Q1 2025</t>
        </is>
      </c>
      <c r="I239" s="73" t="n">
        <v>6953.93</v>
      </c>
      <c r="J239" s="73" t="n">
        <v>6665.06</v>
      </c>
      <c r="K239" s="73" t="n">
        <v>5642.96</v>
      </c>
      <c r="L239" s="163">
        <f>I239-J239</f>
        <v/>
      </c>
      <c r="M239" s="161">
        <f>IF(I239=0,0,ROUND((I239-J239)/I239,4))</f>
        <v/>
      </c>
      <c r="N239" s="107">
        <f>IF(I239=0,0,J239/I239)</f>
        <v/>
      </c>
      <c r="O239" s="108">
        <f>IF(L239&gt;=0,"Under","Over")</f>
        <v/>
      </c>
      <c r="P239" s="69">
        <f>IF(M239&lt;-0.05,"Watch","On Track")</f>
        <v/>
      </c>
    </row>
    <row r="240" ht="16" customHeight="1">
      <c r="A240" s="98" t="inlineStr">
        <is>
          <t>CC-00239</t>
        </is>
      </c>
      <c r="B240" s="99" t="inlineStr">
        <is>
          <t>EVT-2025-022</t>
        </is>
      </c>
      <c r="C240" s="100" t="inlineStr">
        <is>
          <t>Imunexal Advisory Board Stockholm Jan 2025</t>
        </is>
      </c>
      <c r="D240" s="100" t="inlineStr">
        <is>
          <t>Immunology</t>
        </is>
      </c>
      <c r="E240" s="100" t="inlineStr">
        <is>
          <t>BU Immunology</t>
        </is>
      </c>
      <c r="F240" s="99" t="inlineStr">
        <is>
          <t>Speaker Fees</t>
        </is>
      </c>
      <c r="G240" s="99" t="inlineStr">
        <is>
          <t>Jan-2025</t>
        </is>
      </c>
      <c r="H240" s="99" t="inlineStr">
        <is>
          <t>Q1 2025</t>
        </is>
      </c>
      <c r="I240" s="101" t="n">
        <v>4967.1</v>
      </c>
      <c r="J240" s="101" t="n">
        <v>5212.7</v>
      </c>
      <c r="K240" s="101" t="n">
        <v>4345.54</v>
      </c>
      <c r="L240" s="167">
        <f>I240-J240</f>
        <v/>
      </c>
      <c r="M240" s="166">
        <f>IF(I240=0,0,ROUND((I240-J240)/I240,4))</f>
        <v/>
      </c>
      <c r="N240" s="104">
        <f>IF(I240=0,0,J240/I240)</f>
        <v/>
      </c>
      <c r="O240" s="111">
        <f>IF(L240&gt;=0,"Under","Over")</f>
        <v/>
      </c>
      <c r="P240" s="69">
        <f>IF(M240&lt;-0.05,"Watch","On Track")</f>
        <v/>
      </c>
    </row>
    <row r="241" ht="16" customHeight="1">
      <c r="A241" s="106" t="inlineStr">
        <is>
          <t>CC-00240</t>
        </is>
      </c>
      <c r="B241" s="71" t="inlineStr">
        <is>
          <t>EVT-2025-022</t>
        </is>
      </c>
      <c r="C241" s="70" t="inlineStr">
        <is>
          <t>Imunexal Advisory Board Stockholm Jan 2025</t>
        </is>
      </c>
      <c r="D241" s="70" t="inlineStr">
        <is>
          <t>Immunology</t>
        </is>
      </c>
      <c r="E241" s="70" t="inlineStr">
        <is>
          <t>BU Immunology</t>
        </is>
      </c>
      <c r="F241" s="71" t="inlineStr">
        <is>
          <t>Translation</t>
        </is>
      </c>
      <c r="G241" s="71" t="inlineStr">
        <is>
          <t>Jan-2025</t>
        </is>
      </c>
      <c r="H241" s="71" t="inlineStr">
        <is>
          <t>Q1 2025</t>
        </is>
      </c>
      <c r="I241" s="73" t="n">
        <v>1490.13</v>
      </c>
      <c r="J241" s="73" t="n">
        <v>935.53</v>
      </c>
      <c r="K241" s="73" t="n">
        <v>691.9</v>
      </c>
      <c r="L241" s="163">
        <f>I241-J241</f>
        <v/>
      </c>
      <c r="M241" s="161">
        <f>IF(I241=0,0,ROUND((I241-J241)/I241,4))</f>
        <v/>
      </c>
      <c r="N241" s="107">
        <f>IF(I241=0,0,J241/I241)</f>
        <v/>
      </c>
      <c r="O241" s="108">
        <f>IF(L241&gt;=0,"Under","Over")</f>
        <v/>
      </c>
      <c r="P241" s="69">
        <f>IF(M241&lt;-0.05,"Watch","On Track")</f>
        <v/>
      </c>
    </row>
    <row r="242" ht="16" customHeight="1">
      <c r="A242" s="98" t="inlineStr">
        <is>
          <t>CC-00241</t>
        </is>
      </c>
      <c r="B242" s="99" t="inlineStr">
        <is>
          <t>EVT-2025-022</t>
        </is>
      </c>
      <c r="C242" s="100" t="inlineStr">
        <is>
          <t>Imunexal Advisory Board Stockholm Jan 2025</t>
        </is>
      </c>
      <c r="D242" s="100" t="inlineStr">
        <is>
          <t>Immunology</t>
        </is>
      </c>
      <c r="E242" s="100" t="inlineStr">
        <is>
          <t>BU Immunology</t>
        </is>
      </c>
      <c r="F242" s="99" t="inlineStr">
        <is>
          <t>Print &amp; Production</t>
        </is>
      </c>
      <c r="G242" s="99" t="inlineStr">
        <is>
          <t>Jan-2025</t>
        </is>
      </c>
      <c r="H242" s="99" t="inlineStr">
        <is>
          <t>Q1 2025</t>
        </is>
      </c>
      <c r="I242" s="101" t="n">
        <v>993.42</v>
      </c>
      <c r="J242" s="101" t="n">
        <v>802.4</v>
      </c>
      <c r="K242" s="101" t="n">
        <v>697.42</v>
      </c>
      <c r="L242" s="165">
        <f>I242-J242</f>
        <v/>
      </c>
      <c r="M242" s="166">
        <f>IF(I242=0,0,ROUND((I242-J242)/I242,4))</f>
        <v/>
      </c>
      <c r="N242" s="104">
        <f>IF(I242=0,0,J242/I242)</f>
        <v/>
      </c>
      <c r="O242" s="105">
        <f>IF(L242&gt;=0,"Under","Over")</f>
        <v/>
      </c>
      <c r="P242" s="69">
        <f>IF(M242&lt;-0.05,"Watch","On Track")</f>
        <v/>
      </c>
    </row>
    <row r="243" ht="16" customHeight="1">
      <c r="A243" s="106" t="inlineStr">
        <is>
          <t>CC-00242</t>
        </is>
      </c>
      <c r="B243" s="71" t="inlineStr">
        <is>
          <t>EVT-2025-022</t>
        </is>
      </c>
      <c r="C243" s="70" t="inlineStr">
        <is>
          <t>Imunexal Advisory Board Stockholm Jan 2025</t>
        </is>
      </c>
      <c r="D243" s="70" t="inlineStr">
        <is>
          <t>Immunology</t>
        </is>
      </c>
      <c r="E243" s="70" t="inlineStr">
        <is>
          <t>BU Immunology</t>
        </is>
      </c>
      <c r="F243" s="71" t="inlineStr">
        <is>
          <t>Miscellaneous</t>
        </is>
      </c>
      <c r="G243" s="71" t="inlineStr">
        <is>
          <t>Jan-2025</t>
        </is>
      </c>
      <c r="H243" s="71" t="inlineStr">
        <is>
          <t>Q1 2025</t>
        </is>
      </c>
      <c r="I243" s="73" t="n">
        <v>993.42</v>
      </c>
      <c r="J243" s="73" t="n">
        <v>873.61</v>
      </c>
      <c r="K243" s="73" t="n">
        <v>787.85</v>
      </c>
      <c r="L243" s="163">
        <f>I243-J243</f>
        <v/>
      </c>
      <c r="M243" s="161">
        <f>IF(I243=0,0,ROUND((I243-J243)/I243,4))</f>
        <v/>
      </c>
      <c r="N243" s="107">
        <f>IF(I243=0,0,J243/I243)</f>
        <v/>
      </c>
      <c r="O243" s="108">
        <f>IF(L243&gt;=0,"Under","Over")</f>
        <v/>
      </c>
      <c r="P243" s="69">
        <f>IF(M243&lt;-0.05,"Watch","On Track")</f>
        <v/>
      </c>
    </row>
    <row r="244" ht="16" customHeight="1">
      <c r="A244" s="98" t="inlineStr">
        <is>
          <t>CC-00243</t>
        </is>
      </c>
      <c r="B244" s="99" t="inlineStr">
        <is>
          <t>EVT-2025-023</t>
        </is>
      </c>
      <c r="C244" s="100" t="inlineStr">
        <is>
          <t>Nexolimab Advisory Board Barcelona Jun 2025</t>
        </is>
      </c>
      <c r="D244" s="100" t="inlineStr">
        <is>
          <t>Oncology</t>
        </is>
      </c>
      <c r="E244" s="100" t="inlineStr">
        <is>
          <t>BU Oncology</t>
        </is>
      </c>
      <c r="F244" s="99" t="inlineStr">
        <is>
          <t>Airfare</t>
        </is>
      </c>
      <c r="G244" s="99" t="inlineStr">
        <is>
          <t>Jun-2025</t>
        </is>
      </c>
      <c r="H244" s="99" t="inlineStr">
        <is>
          <t>Q2 2025</t>
        </is>
      </c>
      <c r="I244" s="101" t="n">
        <v>33267.38</v>
      </c>
      <c r="J244" s="101" t="n">
        <v>25086.42</v>
      </c>
      <c r="K244" s="101" t="n">
        <v>17724.34</v>
      </c>
      <c r="L244" s="165">
        <f>I244-J244</f>
        <v/>
      </c>
      <c r="M244" s="166">
        <f>IF(I244=0,0,ROUND((I244-J244)/I244,4))</f>
        <v/>
      </c>
      <c r="N244" s="104">
        <f>IF(I244=0,0,J244/I244)</f>
        <v/>
      </c>
      <c r="O244" s="105">
        <f>IF(L244&gt;=0,"Under","Over")</f>
        <v/>
      </c>
      <c r="P244" s="69">
        <f>IF(M244&lt;-0.05,"Watch","On Track")</f>
        <v/>
      </c>
    </row>
    <row r="245" ht="16" customHeight="1">
      <c r="A245" s="106" t="inlineStr">
        <is>
          <t>CC-00244</t>
        </is>
      </c>
      <c r="B245" s="71" t="inlineStr">
        <is>
          <t>EVT-2025-023</t>
        </is>
      </c>
      <c r="C245" s="70" t="inlineStr">
        <is>
          <t>Nexolimab Advisory Board Barcelona Jun 2025</t>
        </is>
      </c>
      <c r="D245" s="70" t="inlineStr">
        <is>
          <t>Oncology</t>
        </is>
      </c>
      <c r="E245" s="70" t="inlineStr">
        <is>
          <t>BU Oncology</t>
        </is>
      </c>
      <c r="F245" s="71" t="inlineStr">
        <is>
          <t>Hotel</t>
        </is>
      </c>
      <c r="G245" s="71" t="inlineStr">
        <is>
          <t>Jun-2025</t>
        </is>
      </c>
      <c r="H245" s="71" t="inlineStr">
        <is>
          <t>Q2 2025</t>
        </is>
      </c>
      <c r="I245" s="73" t="n">
        <v>59881.29</v>
      </c>
      <c r="J245" s="73" t="n">
        <v>43547.39</v>
      </c>
      <c r="K245" s="73" t="n">
        <v>30522.57</v>
      </c>
      <c r="L245" s="163">
        <f>I245-J245</f>
        <v/>
      </c>
      <c r="M245" s="161">
        <f>IF(I245=0,0,ROUND((I245-J245)/I245,4))</f>
        <v/>
      </c>
      <c r="N245" s="107">
        <f>IF(I245=0,0,J245/I245)</f>
        <v/>
      </c>
      <c r="O245" s="108">
        <f>IF(L245&gt;=0,"Under","Over")</f>
        <v/>
      </c>
      <c r="P245" s="69">
        <f>IF(M245&lt;-0.05,"Watch","On Track")</f>
        <v/>
      </c>
    </row>
    <row r="246" ht="16" customHeight="1">
      <c r="A246" s="98" t="inlineStr">
        <is>
          <t>CC-00245</t>
        </is>
      </c>
      <c r="B246" s="99" t="inlineStr">
        <is>
          <t>EVT-2025-023</t>
        </is>
      </c>
      <c r="C246" s="100" t="inlineStr">
        <is>
          <t>Nexolimab Advisory Board Barcelona Jun 2025</t>
        </is>
      </c>
      <c r="D246" s="100" t="inlineStr">
        <is>
          <t>Oncology</t>
        </is>
      </c>
      <c r="E246" s="100" t="inlineStr">
        <is>
          <t>BU Oncology</t>
        </is>
      </c>
      <c r="F246" s="99" t="inlineStr">
        <is>
          <t>Venue</t>
        </is>
      </c>
      <c r="G246" s="99" t="inlineStr">
        <is>
          <t>Jun-2025</t>
        </is>
      </c>
      <c r="H246" s="99" t="inlineStr">
        <is>
          <t>Q2 2025</t>
        </is>
      </c>
      <c r="I246" s="101" t="n">
        <v>49901.07</v>
      </c>
      <c r="J246" s="101" t="n">
        <v>35377.4</v>
      </c>
      <c r="K246" s="101" t="n">
        <v>25539.26</v>
      </c>
      <c r="L246" s="165">
        <f>I246-J246</f>
        <v/>
      </c>
      <c r="M246" s="166">
        <f>IF(I246=0,0,ROUND((I246-J246)/I246,4))</f>
        <v/>
      </c>
      <c r="N246" s="104">
        <f>IF(I246=0,0,J246/I246)</f>
        <v/>
      </c>
      <c r="O246" s="105">
        <f>IF(L246&gt;=0,"Under","Over")</f>
        <v/>
      </c>
      <c r="P246" s="69">
        <f>IF(M246&lt;-0.05,"Watch","On Track")</f>
        <v/>
      </c>
    </row>
    <row r="247" ht="16" customHeight="1">
      <c r="A247" s="106" t="inlineStr">
        <is>
          <t>CC-00246</t>
        </is>
      </c>
      <c r="B247" s="71" t="inlineStr">
        <is>
          <t>EVT-2025-023</t>
        </is>
      </c>
      <c r="C247" s="70" t="inlineStr">
        <is>
          <t>Nexolimab Advisory Board Barcelona Jun 2025</t>
        </is>
      </c>
      <c r="D247" s="70" t="inlineStr">
        <is>
          <t>Oncology</t>
        </is>
      </c>
      <c r="E247" s="70" t="inlineStr">
        <is>
          <t>BU Oncology</t>
        </is>
      </c>
      <c r="F247" s="71" t="inlineStr">
        <is>
          <t>F&amp;B</t>
        </is>
      </c>
      <c r="G247" s="71" t="inlineStr">
        <is>
          <t>Jun-2025</t>
        </is>
      </c>
      <c r="H247" s="71" t="inlineStr">
        <is>
          <t>Q2 2025</t>
        </is>
      </c>
      <c r="I247" s="73" t="n">
        <v>39920.86</v>
      </c>
      <c r="J247" s="73" t="n">
        <v>32409.7</v>
      </c>
      <c r="K247" s="73" t="n">
        <v>29496.57</v>
      </c>
      <c r="L247" s="163">
        <f>I247-J247</f>
        <v/>
      </c>
      <c r="M247" s="161">
        <f>IF(I247=0,0,ROUND((I247-J247)/I247,4))</f>
        <v/>
      </c>
      <c r="N247" s="107">
        <f>IF(I247=0,0,J247/I247)</f>
        <v/>
      </c>
      <c r="O247" s="108">
        <f>IF(L247&gt;=0,"Under","Over")</f>
        <v/>
      </c>
      <c r="P247" s="69">
        <f>IF(M247&lt;-0.05,"Watch","On Track")</f>
        <v/>
      </c>
    </row>
    <row r="248" ht="16" customHeight="1">
      <c r="A248" s="98" t="inlineStr">
        <is>
          <t>CC-00247</t>
        </is>
      </c>
      <c r="B248" s="99" t="inlineStr">
        <is>
          <t>EVT-2025-023</t>
        </is>
      </c>
      <c r="C248" s="100" t="inlineStr">
        <is>
          <t>Nexolimab Advisory Board Barcelona Jun 2025</t>
        </is>
      </c>
      <c r="D248" s="100" t="inlineStr">
        <is>
          <t>Oncology</t>
        </is>
      </c>
      <c r="E248" s="100" t="inlineStr">
        <is>
          <t>BU Oncology</t>
        </is>
      </c>
      <c r="F248" s="99" t="inlineStr">
        <is>
          <t>Logistics</t>
        </is>
      </c>
      <c r="G248" s="99" t="inlineStr">
        <is>
          <t>Jun-2025</t>
        </is>
      </c>
      <c r="H248" s="99" t="inlineStr">
        <is>
          <t>Q2 2025</t>
        </is>
      </c>
      <c r="I248" s="101" t="n">
        <v>19960.43</v>
      </c>
      <c r="J248" s="101" t="n">
        <v>17377.19</v>
      </c>
      <c r="K248" s="101" t="n">
        <v>12478.16</v>
      </c>
      <c r="L248" s="165">
        <f>I248-J248</f>
        <v/>
      </c>
      <c r="M248" s="166">
        <f>IF(I248=0,0,ROUND((I248-J248)/I248,4))</f>
        <v/>
      </c>
      <c r="N248" s="104">
        <f>IF(I248=0,0,J248/I248)</f>
        <v/>
      </c>
      <c r="O248" s="105">
        <f>IF(L248&gt;=0,"Under","Over")</f>
        <v/>
      </c>
      <c r="P248" s="69">
        <f>IF(M248&lt;-0.05,"Watch","On Track")</f>
        <v/>
      </c>
    </row>
    <row r="249" ht="16" customHeight="1">
      <c r="A249" s="106" t="inlineStr">
        <is>
          <t>CC-00248</t>
        </is>
      </c>
      <c r="B249" s="71" t="inlineStr">
        <is>
          <t>EVT-2025-023</t>
        </is>
      </c>
      <c r="C249" s="70" t="inlineStr">
        <is>
          <t>Nexolimab Advisory Board Barcelona Jun 2025</t>
        </is>
      </c>
      <c r="D249" s="70" t="inlineStr">
        <is>
          <t>Oncology</t>
        </is>
      </c>
      <c r="E249" s="70" t="inlineStr">
        <is>
          <t>BU Oncology</t>
        </is>
      </c>
      <c r="F249" s="71" t="inlineStr">
        <is>
          <t>AV &amp; Technology</t>
        </is>
      </c>
      <c r="G249" s="71" t="inlineStr">
        <is>
          <t>Jun-2025</t>
        </is>
      </c>
      <c r="H249" s="71" t="inlineStr">
        <is>
          <t>Q2 2025</t>
        </is>
      </c>
      <c r="I249" s="73" t="n">
        <v>26613.91</v>
      </c>
      <c r="J249" s="73" t="n">
        <v>27867.67</v>
      </c>
      <c r="K249" s="73" t="n">
        <v>27751.77</v>
      </c>
      <c r="L249" s="158">
        <f>I249-J249</f>
        <v/>
      </c>
      <c r="M249" s="161">
        <f>IF(I249=0,0,ROUND((I249-J249)/I249,4))</f>
        <v/>
      </c>
      <c r="N249" s="107">
        <f>IF(I249=0,0,J249/I249)</f>
        <v/>
      </c>
      <c r="O249" s="112">
        <f>IF(L249&gt;=0,"Under","Over")</f>
        <v/>
      </c>
      <c r="P249" s="69">
        <f>IF(M249&lt;-0.05,"Watch","On Track")</f>
        <v/>
      </c>
    </row>
    <row r="250" ht="16" customHeight="1">
      <c r="A250" s="98" t="inlineStr">
        <is>
          <t>CC-00249</t>
        </is>
      </c>
      <c r="B250" s="99" t="inlineStr">
        <is>
          <t>EVT-2025-023</t>
        </is>
      </c>
      <c r="C250" s="100" t="inlineStr">
        <is>
          <t>Nexolimab Advisory Board Barcelona Jun 2025</t>
        </is>
      </c>
      <c r="D250" s="100" t="inlineStr">
        <is>
          <t>Oncology</t>
        </is>
      </c>
      <c r="E250" s="100" t="inlineStr">
        <is>
          <t>BU Oncology</t>
        </is>
      </c>
      <c r="F250" s="99" t="inlineStr">
        <is>
          <t>Agency Fees</t>
        </is>
      </c>
      <c r="G250" s="99" t="inlineStr">
        <is>
          <t>Jun-2025</t>
        </is>
      </c>
      <c r="H250" s="99" t="inlineStr">
        <is>
          <t>Q2 2025</t>
        </is>
      </c>
      <c r="I250" s="101" t="n">
        <v>46574.34</v>
      </c>
      <c r="J250" s="101" t="n">
        <v>38937.81</v>
      </c>
      <c r="K250" s="101" t="n">
        <v>30610.07</v>
      </c>
      <c r="L250" s="165">
        <f>I250-J250</f>
        <v/>
      </c>
      <c r="M250" s="166">
        <f>IF(I250=0,0,ROUND((I250-J250)/I250,4))</f>
        <v/>
      </c>
      <c r="N250" s="104">
        <f>IF(I250=0,0,J250/I250)</f>
        <v/>
      </c>
      <c r="O250" s="105">
        <f>IF(L250&gt;=0,"Under","Over")</f>
        <v/>
      </c>
      <c r="P250" s="69">
        <f>IF(M250&lt;-0.05,"Watch","On Track")</f>
        <v/>
      </c>
    </row>
    <row r="251" ht="16" customHeight="1">
      <c r="A251" s="106" t="inlineStr">
        <is>
          <t>CC-00250</t>
        </is>
      </c>
      <c r="B251" s="71" t="inlineStr">
        <is>
          <t>EVT-2025-023</t>
        </is>
      </c>
      <c r="C251" s="70" t="inlineStr">
        <is>
          <t>Nexolimab Advisory Board Barcelona Jun 2025</t>
        </is>
      </c>
      <c r="D251" s="70" t="inlineStr">
        <is>
          <t>Oncology</t>
        </is>
      </c>
      <c r="E251" s="70" t="inlineStr">
        <is>
          <t>BU Oncology</t>
        </is>
      </c>
      <c r="F251" s="71" t="inlineStr">
        <is>
          <t>Speaker Fees</t>
        </is>
      </c>
      <c r="G251" s="71" t="inlineStr">
        <is>
          <t>Jun-2025</t>
        </is>
      </c>
      <c r="H251" s="71" t="inlineStr">
        <is>
          <t>Q2 2025</t>
        </is>
      </c>
      <c r="I251" s="73" t="n">
        <v>33267.38</v>
      </c>
      <c r="J251" s="73" t="n">
        <v>22954.18</v>
      </c>
      <c r="K251" s="73" t="n">
        <v>17000.52</v>
      </c>
      <c r="L251" s="163">
        <f>I251-J251</f>
        <v/>
      </c>
      <c r="M251" s="161">
        <f>IF(I251=0,0,ROUND((I251-J251)/I251,4))</f>
        <v/>
      </c>
      <c r="N251" s="107">
        <f>IF(I251=0,0,J251/I251)</f>
        <v/>
      </c>
      <c r="O251" s="108">
        <f>IF(L251&gt;=0,"Under","Over")</f>
        <v/>
      </c>
      <c r="P251" s="69">
        <f>IF(M251&lt;-0.05,"Watch","On Track")</f>
        <v/>
      </c>
    </row>
    <row r="252" ht="16" customHeight="1">
      <c r="A252" s="98" t="inlineStr">
        <is>
          <t>CC-00251</t>
        </is>
      </c>
      <c r="B252" s="99" t="inlineStr">
        <is>
          <t>EVT-2025-023</t>
        </is>
      </c>
      <c r="C252" s="100" t="inlineStr">
        <is>
          <t>Nexolimab Advisory Board Barcelona Jun 2025</t>
        </is>
      </c>
      <c r="D252" s="100" t="inlineStr">
        <is>
          <t>Oncology</t>
        </is>
      </c>
      <c r="E252" s="100" t="inlineStr">
        <is>
          <t>BU Oncology</t>
        </is>
      </c>
      <c r="F252" s="99" t="inlineStr">
        <is>
          <t>Translation</t>
        </is>
      </c>
      <c r="G252" s="99" t="inlineStr">
        <is>
          <t>Jun-2025</t>
        </is>
      </c>
      <c r="H252" s="99" t="inlineStr">
        <is>
          <t>Q2 2025</t>
        </is>
      </c>
      <c r="I252" s="101" t="n">
        <v>9980.209999999999</v>
      </c>
      <c r="J252" s="101" t="n">
        <v>9189.4</v>
      </c>
      <c r="K252" s="101" t="n">
        <v>8443.1</v>
      </c>
      <c r="L252" s="165">
        <f>I252-J252</f>
        <v/>
      </c>
      <c r="M252" s="166">
        <f>IF(I252=0,0,ROUND((I252-J252)/I252,4))</f>
        <v/>
      </c>
      <c r="N252" s="104">
        <f>IF(I252=0,0,J252/I252)</f>
        <v/>
      </c>
      <c r="O252" s="105">
        <f>IF(L252&gt;=0,"Under","Over")</f>
        <v/>
      </c>
      <c r="P252" s="69">
        <f>IF(M252&lt;-0.05,"Watch","On Track")</f>
        <v/>
      </c>
    </row>
    <row r="253" ht="16" customHeight="1">
      <c r="A253" s="106" t="inlineStr">
        <is>
          <t>CC-00252</t>
        </is>
      </c>
      <c r="B253" s="71" t="inlineStr">
        <is>
          <t>EVT-2025-023</t>
        </is>
      </c>
      <c r="C253" s="70" t="inlineStr">
        <is>
          <t>Nexolimab Advisory Board Barcelona Jun 2025</t>
        </is>
      </c>
      <c r="D253" s="70" t="inlineStr">
        <is>
          <t>Oncology</t>
        </is>
      </c>
      <c r="E253" s="70" t="inlineStr">
        <is>
          <t>BU Oncology</t>
        </is>
      </c>
      <c r="F253" s="71" t="inlineStr">
        <is>
          <t>Print &amp; Production</t>
        </is>
      </c>
      <c r="G253" s="71" t="inlineStr">
        <is>
          <t>Jun-2025</t>
        </is>
      </c>
      <c r="H253" s="71" t="inlineStr">
        <is>
          <t>Q2 2025</t>
        </is>
      </c>
      <c r="I253" s="73" t="n">
        <v>6653.48</v>
      </c>
      <c r="J253" s="73" t="n">
        <v>7198.34</v>
      </c>
      <c r="K253" s="73" t="n">
        <v>5847.49</v>
      </c>
      <c r="L253" s="158">
        <f>I253-J253</f>
        <v/>
      </c>
      <c r="M253" s="159">
        <f>IF(I253=0,0,ROUND((I253-J253)/I253,4))</f>
        <v/>
      </c>
      <c r="N253" s="107">
        <f>IF(I253=0,0,J253/I253)</f>
        <v/>
      </c>
      <c r="O253" s="112">
        <f>IF(L253&gt;=0,"Under","Over")</f>
        <v/>
      </c>
      <c r="P253" s="76">
        <f>IF(M253&lt;-0.05,"Watch","On Track")</f>
        <v/>
      </c>
    </row>
    <row r="254" ht="16" customHeight="1">
      <c r="A254" s="98" t="inlineStr">
        <is>
          <t>CC-00253</t>
        </is>
      </c>
      <c r="B254" s="99" t="inlineStr">
        <is>
          <t>EVT-2025-023</t>
        </is>
      </c>
      <c r="C254" s="100" t="inlineStr">
        <is>
          <t>Nexolimab Advisory Board Barcelona Jun 2025</t>
        </is>
      </c>
      <c r="D254" s="100" t="inlineStr">
        <is>
          <t>Oncology</t>
        </is>
      </c>
      <c r="E254" s="100" t="inlineStr">
        <is>
          <t>BU Oncology</t>
        </is>
      </c>
      <c r="F254" s="99" t="inlineStr">
        <is>
          <t>Miscellaneous</t>
        </is>
      </c>
      <c r="G254" s="99" t="inlineStr">
        <is>
          <t>Jun-2025</t>
        </is>
      </c>
      <c r="H254" s="99" t="inlineStr">
        <is>
          <t>Q2 2025</t>
        </is>
      </c>
      <c r="I254" s="101" t="n">
        <v>6653.48</v>
      </c>
      <c r="J254" s="101" t="n">
        <v>6957.32</v>
      </c>
      <c r="K254" s="101" t="n">
        <v>5806.31</v>
      </c>
      <c r="L254" s="167">
        <f>I254-J254</f>
        <v/>
      </c>
      <c r="M254" s="166">
        <f>IF(I254=0,0,ROUND((I254-J254)/I254,4))</f>
        <v/>
      </c>
      <c r="N254" s="104">
        <f>IF(I254=0,0,J254/I254)</f>
        <v/>
      </c>
      <c r="O254" s="111">
        <f>IF(L254&gt;=0,"Under","Over")</f>
        <v/>
      </c>
      <c r="P254" s="69">
        <f>IF(M254&lt;-0.05,"Watch","On Track")</f>
        <v/>
      </c>
    </row>
    <row r="255" ht="16" customHeight="1">
      <c r="A255" s="106" t="inlineStr">
        <is>
          <t>CC-00254</t>
        </is>
      </c>
      <c r="B255" s="71" t="inlineStr">
        <is>
          <t>EVT-2025-024</t>
        </is>
      </c>
      <c r="C255" s="70" t="inlineStr">
        <is>
          <t>Influximab Speaker Program Dublin Oct 2025</t>
        </is>
      </c>
      <c r="D255" s="70" t="inlineStr">
        <is>
          <t>Immunology</t>
        </is>
      </c>
      <c r="E255" s="70" t="inlineStr">
        <is>
          <t>BU Immunology</t>
        </is>
      </c>
      <c r="F255" s="71" t="inlineStr">
        <is>
          <t>Airfare</t>
        </is>
      </c>
      <c r="G255" s="71" t="inlineStr">
        <is>
          <t>Oct-2025</t>
        </is>
      </c>
      <c r="H255" s="71" t="inlineStr">
        <is>
          <t>Q4 2025</t>
        </is>
      </c>
      <c r="I255" s="73" t="n">
        <v>38156.61</v>
      </c>
      <c r="J255" s="73" t="n">
        <v>40390.97</v>
      </c>
      <c r="K255" s="73" t="n">
        <v>0</v>
      </c>
      <c r="L255" s="158">
        <f>I255-J255</f>
        <v/>
      </c>
      <c r="M255" s="159">
        <f>IF(I255=0,0,ROUND((I255-J255)/I255,4))</f>
        <v/>
      </c>
      <c r="N255" s="107">
        <f>IF(I255=0,0,J255/I255)</f>
        <v/>
      </c>
      <c r="O255" s="112">
        <f>IF(L255&gt;=0,"Under","Over")</f>
        <v/>
      </c>
      <c r="P255" s="76">
        <f>IF(M255&lt;-0.05,"Watch","On Track")</f>
        <v/>
      </c>
    </row>
    <row r="256" ht="16" customHeight="1">
      <c r="A256" s="98" t="inlineStr">
        <is>
          <t>CC-00255</t>
        </is>
      </c>
      <c r="B256" s="99" t="inlineStr">
        <is>
          <t>EVT-2025-024</t>
        </is>
      </c>
      <c r="C256" s="100" t="inlineStr">
        <is>
          <t>Influximab Speaker Program Dublin Oct 2025</t>
        </is>
      </c>
      <c r="D256" s="100" t="inlineStr">
        <is>
          <t>Immunology</t>
        </is>
      </c>
      <c r="E256" s="100" t="inlineStr">
        <is>
          <t>BU Immunology</t>
        </is>
      </c>
      <c r="F256" s="99" t="inlineStr">
        <is>
          <t>Hotel</t>
        </is>
      </c>
      <c r="G256" s="99" t="inlineStr">
        <is>
          <t>Oct-2025</t>
        </is>
      </c>
      <c r="H256" s="99" t="inlineStr">
        <is>
          <t>Q4 2025</t>
        </is>
      </c>
      <c r="I256" s="101" t="n">
        <v>68681.89999999999</v>
      </c>
      <c r="J256" s="101" t="n">
        <v>54172.72</v>
      </c>
      <c r="K256" s="101" t="n">
        <v>0</v>
      </c>
      <c r="L256" s="165">
        <f>I256-J256</f>
        <v/>
      </c>
      <c r="M256" s="166">
        <f>IF(I256=0,0,ROUND((I256-J256)/I256,4))</f>
        <v/>
      </c>
      <c r="N256" s="104">
        <f>IF(I256=0,0,J256/I256)</f>
        <v/>
      </c>
      <c r="O256" s="105">
        <f>IF(L256&gt;=0,"Under","Over")</f>
        <v/>
      </c>
      <c r="P256" s="69">
        <f>IF(M256&lt;-0.05,"Watch","On Track")</f>
        <v/>
      </c>
    </row>
    <row r="257" ht="16" customHeight="1">
      <c r="A257" s="106" t="inlineStr">
        <is>
          <t>CC-00256</t>
        </is>
      </c>
      <c r="B257" s="71" t="inlineStr">
        <is>
          <t>EVT-2025-024</t>
        </is>
      </c>
      <c r="C257" s="70" t="inlineStr">
        <is>
          <t>Influximab Speaker Program Dublin Oct 2025</t>
        </is>
      </c>
      <c r="D257" s="70" t="inlineStr">
        <is>
          <t>Immunology</t>
        </is>
      </c>
      <c r="E257" s="70" t="inlineStr">
        <is>
          <t>BU Immunology</t>
        </is>
      </c>
      <c r="F257" s="71" t="inlineStr">
        <is>
          <t>Venue</t>
        </is>
      </c>
      <c r="G257" s="71" t="inlineStr">
        <is>
          <t>Oct-2025</t>
        </is>
      </c>
      <c r="H257" s="71" t="inlineStr">
        <is>
          <t>Q4 2025</t>
        </is>
      </c>
      <c r="I257" s="73" t="n">
        <v>57234.91</v>
      </c>
      <c r="J257" s="73" t="n">
        <v>36637.5</v>
      </c>
      <c r="K257" s="73" t="n">
        <v>0</v>
      </c>
      <c r="L257" s="163">
        <f>I257-J257</f>
        <v/>
      </c>
      <c r="M257" s="161">
        <f>IF(I257=0,0,ROUND((I257-J257)/I257,4))</f>
        <v/>
      </c>
      <c r="N257" s="107">
        <f>IF(I257=0,0,J257/I257)</f>
        <v/>
      </c>
      <c r="O257" s="108">
        <f>IF(L257&gt;=0,"Under","Over")</f>
        <v/>
      </c>
      <c r="P257" s="69">
        <f>IF(M257&lt;-0.05,"Watch","On Track")</f>
        <v/>
      </c>
    </row>
    <row r="258" ht="16" customHeight="1">
      <c r="A258" s="98" t="inlineStr">
        <is>
          <t>CC-00257</t>
        </is>
      </c>
      <c r="B258" s="99" t="inlineStr">
        <is>
          <t>EVT-2025-024</t>
        </is>
      </c>
      <c r="C258" s="100" t="inlineStr">
        <is>
          <t>Influximab Speaker Program Dublin Oct 2025</t>
        </is>
      </c>
      <c r="D258" s="100" t="inlineStr">
        <is>
          <t>Immunology</t>
        </is>
      </c>
      <c r="E258" s="100" t="inlineStr">
        <is>
          <t>BU Immunology</t>
        </is>
      </c>
      <c r="F258" s="99" t="inlineStr">
        <is>
          <t>F&amp;B</t>
        </is>
      </c>
      <c r="G258" s="99" t="inlineStr">
        <is>
          <t>Oct-2025</t>
        </is>
      </c>
      <c r="H258" s="99" t="inlineStr">
        <is>
          <t>Q4 2025</t>
        </is>
      </c>
      <c r="I258" s="101" t="n">
        <v>45787.93</v>
      </c>
      <c r="J258" s="101" t="n">
        <v>49545.85</v>
      </c>
      <c r="K258" s="101" t="n">
        <v>0</v>
      </c>
      <c r="L258" s="167">
        <f>I258-J258</f>
        <v/>
      </c>
      <c r="M258" s="168">
        <f>IF(I258=0,0,ROUND((I258-J258)/I258,4))</f>
        <v/>
      </c>
      <c r="N258" s="104">
        <f>IF(I258=0,0,J258/I258)</f>
        <v/>
      </c>
      <c r="O258" s="111">
        <f>IF(L258&gt;=0,"Under","Over")</f>
        <v/>
      </c>
      <c r="P258" s="76">
        <f>IF(M258&lt;-0.05,"Watch","On Track")</f>
        <v/>
      </c>
    </row>
    <row r="259" ht="16" customHeight="1">
      <c r="A259" s="106" t="inlineStr">
        <is>
          <t>CC-00258</t>
        </is>
      </c>
      <c r="B259" s="71" t="inlineStr">
        <is>
          <t>EVT-2025-024</t>
        </is>
      </c>
      <c r="C259" s="70" t="inlineStr">
        <is>
          <t>Influximab Speaker Program Dublin Oct 2025</t>
        </is>
      </c>
      <c r="D259" s="70" t="inlineStr">
        <is>
          <t>Immunology</t>
        </is>
      </c>
      <c r="E259" s="70" t="inlineStr">
        <is>
          <t>BU Immunology</t>
        </is>
      </c>
      <c r="F259" s="71" t="inlineStr">
        <is>
          <t>Logistics</t>
        </is>
      </c>
      <c r="G259" s="71" t="inlineStr">
        <is>
          <t>Oct-2025</t>
        </is>
      </c>
      <c r="H259" s="71" t="inlineStr">
        <is>
          <t>Q4 2025</t>
        </is>
      </c>
      <c r="I259" s="73" t="n">
        <v>22893.97</v>
      </c>
      <c r="J259" s="73" t="n">
        <v>23747.39</v>
      </c>
      <c r="K259" s="73" t="n">
        <v>0</v>
      </c>
      <c r="L259" s="158">
        <f>I259-J259</f>
        <v/>
      </c>
      <c r="M259" s="161">
        <f>IF(I259=0,0,ROUND((I259-J259)/I259,4))</f>
        <v/>
      </c>
      <c r="N259" s="107">
        <f>IF(I259=0,0,J259/I259)</f>
        <v/>
      </c>
      <c r="O259" s="112">
        <f>IF(L259&gt;=0,"Under","Over")</f>
        <v/>
      </c>
      <c r="P259" s="69">
        <f>IF(M259&lt;-0.05,"Watch","On Track")</f>
        <v/>
      </c>
    </row>
    <row r="260" ht="16" customHeight="1">
      <c r="A260" s="98" t="inlineStr">
        <is>
          <t>CC-00259</t>
        </is>
      </c>
      <c r="B260" s="99" t="inlineStr">
        <is>
          <t>EVT-2025-024</t>
        </is>
      </c>
      <c r="C260" s="100" t="inlineStr">
        <is>
          <t>Influximab Speaker Program Dublin Oct 2025</t>
        </is>
      </c>
      <c r="D260" s="100" t="inlineStr">
        <is>
          <t>Immunology</t>
        </is>
      </c>
      <c r="E260" s="100" t="inlineStr">
        <is>
          <t>BU Immunology</t>
        </is>
      </c>
      <c r="F260" s="99" t="inlineStr">
        <is>
          <t>AV &amp; Technology</t>
        </is>
      </c>
      <c r="G260" s="99" t="inlineStr">
        <is>
          <t>Oct-2025</t>
        </is>
      </c>
      <c r="H260" s="99" t="inlineStr">
        <is>
          <t>Q4 2025</t>
        </is>
      </c>
      <c r="I260" s="101" t="n">
        <v>30525.29</v>
      </c>
      <c r="J260" s="101" t="n">
        <v>20344.95</v>
      </c>
      <c r="K260" s="101" t="n">
        <v>0</v>
      </c>
      <c r="L260" s="165">
        <f>I260-J260</f>
        <v/>
      </c>
      <c r="M260" s="166">
        <f>IF(I260=0,0,ROUND((I260-J260)/I260,4))</f>
        <v/>
      </c>
      <c r="N260" s="104">
        <f>IF(I260=0,0,J260/I260)</f>
        <v/>
      </c>
      <c r="O260" s="105">
        <f>IF(L260&gt;=0,"Under","Over")</f>
        <v/>
      </c>
      <c r="P260" s="69">
        <f>IF(M260&lt;-0.05,"Watch","On Track")</f>
        <v/>
      </c>
    </row>
    <row r="261" ht="16" customHeight="1">
      <c r="A261" s="106" t="inlineStr">
        <is>
          <t>CC-00260</t>
        </is>
      </c>
      <c r="B261" s="71" t="inlineStr">
        <is>
          <t>EVT-2025-024</t>
        </is>
      </c>
      <c r="C261" s="70" t="inlineStr">
        <is>
          <t>Influximab Speaker Program Dublin Oct 2025</t>
        </is>
      </c>
      <c r="D261" s="70" t="inlineStr">
        <is>
          <t>Immunology</t>
        </is>
      </c>
      <c r="E261" s="70" t="inlineStr">
        <is>
          <t>BU Immunology</t>
        </is>
      </c>
      <c r="F261" s="71" t="inlineStr">
        <is>
          <t>Agency Fees</t>
        </is>
      </c>
      <c r="G261" s="71" t="inlineStr">
        <is>
          <t>Oct-2025</t>
        </is>
      </c>
      <c r="H261" s="71" t="inlineStr">
        <is>
          <t>Q4 2025</t>
        </is>
      </c>
      <c r="I261" s="73" t="n">
        <v>53419.25</v>
      </c>
      <c r="J261" s="73" t="n">
        <v>55029.48</v>
      </c>
      <c r="K261" s="73" t="n">
        <v>0</v>
      </c>
      <c r="L261" s="158">
        <f>I261-J261</f>
        <v/>
      </c>
      <c r="M261" s="161">
        <f>IF(I261=0,0,ROUND((I261-J261)/I261,4))</f>
        <v/>
      </c>
      <c r="N261" s="107">
        <f>IF(I261=0,0,J261/I261)</f>
        <v/>
      </c>
      <c r="O261" s="112">
        <f>IF(L261&gt;=0,"Under","Over")</f>
        <v/>
      </c>
      <c r="P261" s="69">
        <f>IF(M261&lt;-0.05,"Watch","On Track")</f>
        <v/>
      </c>
    </row>
    <row r="262" ht="16" customHeight="1">
      <c r="A262" s="98" t="inlineStr">
        <is>
          <t>CC-00261</t>
        </is>
      </c>
      <c r="B262" s="99" t="inlineStr">
        <is>
          <t>EVT-2025-024</t>
        </is>
      </c>
      <c r="C262" s="100" t="inlineStr">
        <is>
          <t>Influximab Speaker Program Dublin Oct 2025</t>
        </is>
      </c>
      <c r="D262" s="100" t="inlineStr">
        <is>
          <t>Immunology</t>
        </is>
      </c>
      <c r="E262" s="100" t="inlineStr">
        <is>
          <t>BU Immunology</t>
        </is>
      </c>
      <c r="F262" s="99" t="inlineStr">
        <is>
          <t>Speaker Fees</t>
        </is>
      </c>
      <c r="G262" s="99" t="inlineStr">
        <is>
          <t>Oct-2025</t>
        </is>
      </c>
      <c r="H262" s="99" t="inlineStr">
        <is>
          <t>Q4 2025</t>
        </is>
      </c>
      <c r="I262" s="101" t="n">
        <v>38156.61</v>
      </c>
      <c r="J262" s="101" t="n">
        <v>25157.29</v>
      </c>
      <c r="K262" s="101" t="n">
        <v>0</v>
      </c>
      <c r="L262" s="165">
        <f>I262-J262</f>
        <v/>
      </c>
      <c r="M262" s="166">
        <f>IF(I262=0,0,ROUND((I262-J262)/I262,4))</f>
        <v/>
      </c>
      <c r="N262" s="104">
        <f>IF(I262=0,0,J262/I262)</f>
        <v/>
      </c>
      <c r="O262" s="105">
        <f>IF(L262&gt;=0,"Under","Over")</f>
        <v/>
      </c>
      <c r="P262" s="69">
        <f>IF(M262&lt;-0.05,"Watch","On Track")</f>
        <v/>
      </c>
    </row>
    <row r="263" ht="16" customHeight="1">
      <c r="A263" s="106" t="inlineStr">
        <is>
          <t>CC-00262</t>
        </is>
      </c>
      <c r="B263" s="71" t="inlineStr">
        <is>
          <t>EVT-2025-024</t>
        </is>
      </c>
      <c r="C263" s="70" t="inlineStr">
        <is>
          <t>Influximab Speaker Program Dublin Oct 2025</t>
        </is>
      </c>
      <c r="D263" s="70" t="inlineStr">
        <is>
          <t>Immunology</t>
        </is>
      </c>
      <c r="E263" s="70" t="inlineStr">
        <is>
          <t>BU Immunology</t>
        </is>
      </c>
      <c r="F263" s="71" t="inlineStr">
        <is>
          <t>Translation</t>
        </is>
      </c>
      <c r="G263" s="71" t="inlineStr">
        <is>
          <t>Oct-2025</t>
        </is>
      </c>
      <c r="H263" s="71" t="inlineStr">
        <is>
          <t>Q4 2025</t>
        </is>
      </c>
      <c r="I263" s="73" t="n">
        <v>11446.98</v>
      </c>
      <c r="J263" s="73" t="n">
        <v>12550.74</v>
      </c>
      <c r="K263" s="73" t="n">
        <v>0</v>
      </c>
      <c r="L263" s="158">
        <f>I263-J263</f>
        <v/>
      </c>
      <c r="M263" s="159">
        <f>IF(I263=0,0,ROUND((I263-J263)/I263,4))</f>
        <v/>
      </c>
      <c r="N263" s="107">
        <f>IF(I263=0,0,J263/I263)</f>
        <v/>
      </c>
      <c r="O263" s="112">
        <f>IF(L263&gt;=0,"Under","Over")</f>
        <v/>
      </c>
      <c r="P263" s="76">
        <f>IF(M263&lt;-0.05,"Watch","On Track")</f>
        <v/>
      </c>
    </row>
    <row r="264" ht="16" customHeight="1">
      <c r="A264" s="98" t="inlineStr">
        <is>
          <t>CC-00263</t>
        </is>
      </c>
      <c r="B264" s="99" t="inlineStr">
        <is>
          <t>EVT-2025-024</t>
        </is>
      </c>
      <c r="C264" s="100" t="inlineStr">
        <is>
          <t>Influximab Speaker Program Dublin Oct 2025</t>
        </is>
      </c>
      <c r="D264" s="100" t="inlineStr">
        <is>
          <t>Immunology</t>
        </is>
      </c>
      <c r="E264" s="100" t="inlineStr">
        <is>
          <t>BU Immunology</t>
        </is>
      </c>
      <c r="F264" s="99" t="inlineStr">
        <is>
          <t>Print &amp; Production</t>
        </is>
      </c>
      <c r="G264" s="99" t="inlineStr">
        <is>
          <t>Oct-2025</t>
        </is>
      </c>
      <c r="H264" s="99" t="inlineStr">
        <is>
          <t>Q4 2025</t>
        </is>
      </c>
      <c r="I264" s="101" t="n">
        <v>7631.32</v>
      </c>
      <c r="J264" s="101" t="n">
        <v>6078.57</v>
      </c>
      <c r="K264" s="101" t="n">
        <v>0</v>
      </c>
      <c r="L264" s="165">
        <f>I264-J264</f>
        <v/>
      </c>
      <c r="M264" s="166">
        <f>IF(I264=0,0,ROUND((I264-J264)/I264,4))</f>
        <v/>
      </c>
      <c r="N264" s="104">
        <f>IF(I264=0,0,J264/I264)</f>
        <v/>
      </c>
      <c r="O264" s="105">
        <f>IF(L264&gt;=0,"Under","Over")</f>
        <v/>
      </c>
      <c r="P264" s="69">
        <f>IF(M264&lt;-0.05,"Watch","On Track")</f>
        <v/>
      </c>
    </row>
    <row r="265" ht="16" customHeight="1">
      <c r="A265" s="106" t="inlineStr">
        <is>
          <t>CC-00264</t>
        </is>
      </c>
      <c r="B265" s="71" t="inlineStr">
        <is>
          <t>EVT-2025-024</t>
        </is>
      </c>
      <c r="C265" s="70" t="inlineStr">
        <is>
          <t>Influximab Speaker Program Dublin Oct 2025</t>
        </is>
      </c>
      <c r="D265" s="70" t="inlineStr">
        <is>
          <t>Immunology</t>
        </is>
      </c>
      <c r="E265" s="70" t="inlineStr">
        <is>
          <t>BU Immunology</t>
        </is>
      </c>
      <c r="F265" s="71" t="inlineStr">
        <is>
          <t>Miscellaneous</t>
        </is>
      </c>
      <c r="G265" s="71" t="inlineStr">
        <is>
          <t>Oct-2025</t>
        </is>
      </c>
      <c r="H265" s="71" t="inlineStr">
        <is>
          <t>Q4 2025</t>
        </is>
      </c>
      <c r="I265" s="73" t="n">
        <v>7631.32</v>
      </c>
      <c r="J265" s="73" t="n">
        <v>5064.71</v>
      </c>
      <c r="K265" s="73" t="n">
        <v>0</v>
      </c>
      <c r="L265" s="163">
        <f>I265-J265</f>
        <v/>
      </c>
      <c r="M265" s="161">
        <f>IF(I265=0,0,ROUND((I265-J265)/I265,4))</f>
        <v/>
      </c>
      <c r="N265" s="107">
        <f>IF(I265=0,0,J265/I265)</f>
        <v/>
      </c>
      <c r="O265" s="108">
        <f>IF(L265&gt;=0,"Under","Over")</f>
        <v/>
      </c>
      <c r="P265" s="69">
        <f>IF(M265&lt;-0.05,"Watch","On Track")</f>
        <v/>
      </c>
    </row>
    <row r="266" ht="16" customHeight="1">
      <c r="A266" s="98" t="inlineStr">
        <is>
          <t>CC-00265</t>
        </is>
      </c>
      <c r="B266" s="99" t="inlineStr">
        <is>
          <t>EVT-2025-025</t>
        </is>
      </c>
      <c r="C266" s="100" t="inlineStr">
        <is>
          <t>Imunexal Advisory Board Athens Jul 2025</t>
        </is>
      </c>
      <c r="D266" s="100" t="inlineStr">
        <is>
          <t>Immunology</t>
        </is>
      </c>
      <c r="E266" s="100" t="inlineStr">
        <is>
          <t>BU Immunology</t>
        </is>
      </c>
      <c r="F266" s="99" t="inlineStr">
        <is>
          <t>Airfare</t>
        </is>
      </c>
      <c r="G266" s="99" t="inlineStr">
        <is>
          <t>Jul-2025</t>
        </is>
      </c>
      <c r="H266" s="99" t="inlineStr">
        <is>
          <t>Q3 2025</t>
        </is>
      </c>
      <c r="I266" s="101" t="n">
        <v>4240.26</v>
      </c>
      <c r="J266" s="101" t="n">
        <v>4619.18</v>
      </c>
      <c r="K266" s="101" t="n">
        <v>4390.28</v>
      </c>
      <c r="L266" s="167">
        <f>I266-J266</f>
        <v/>
      </c>
      <c r="M266" s="168">
        <f>IF(I266=0,0,ROUND((I266-J266)/I266,4))</f>
        <v/>
      </c>
      <c r="N266" s="104">
        <f>IF(I266=0,0,J266/I266)</f>
        <v/>
      </c>
      <c r="O266" s="111">
        <f>IF(L266&gt;=0,"Under","Over")</f>
        <v/>
      </c>
      <c r="P266" s="76">
        <f>IF(M266&lt;-0.05,"Watch","On Track")</f>
        <v/>
      </c>
    </row>
    <row r="267" ht="16" customHeight="1">
      <c r="A267" s="106" t="inlineStr">
        <is>
          <t>CC-00266</t>
        </is>
      </c>
      <c r="B267" s="71" t="inlineStr">
        <is>
          <t>EVT-2025-025</t>
        </is>
      </c>
      <c r="C267" s="70" t="inlineStr">
        <is>
          <t>Imunexal Advisory Board Athens Jul 2025</t>
        </is>
      </c>
      <c r="D267" s="70" t="inlineStr">
        <is>
          <t>Immunology</t>
        </is>
      </c>
      <c r="E267" s="70" t="inlineStr">
        <is>
          <t>BU Immunology</t>
        </is>
      </c>
      <c r="F267" s="71" t="inlineStr">
        <is>
          <t>Hotel</t>
        </is>
      </c>
      <c r="G267" s="71" t="inlineStr">
        <is>
          <t>Jul-2025</t>
        </is>
      </c>
      <c r="H267" s="71" t="inlineStr">
        <is>
          <t>Q3 2025</t>
        </is>
      </c>
      <c r="I267" s="73" t="n">
        <v>7632.46</v>
      </c>
      <c r="J267" s="73" t="n">
        <v>7465.23</v>
      </c>
      <c r="K267" s="73" t="n">
        <v>7417.06</v>
      </c>
      <c r="L267" s="163">
        <f>I267-J267</f>
        <v/>
      </c>
      <c r="M267" s="161">
        <f>IF(I267=0,0,ROUND((I267-J267)/I267,4))</f>
        <v/>
      </c>
      <c r="N267" s="107">
        <f>IF(I267=0,0,J267/I267)</f>
        <v/>
      </c>
      <c r="O267" s="108">
        <f>IF(L267&gt;=0,"Under","Over")</f>
        <v/>
      </c>
      <c r="P267" s="69">
        <f>IF(M267&lt;-0.05,"Watch","On Track")</f>
        <v/>
      </c>
    </row>
    <row r="268" ht="16" customHeight="1">
      <c r="A268" s="98" t="inlineStr">
        <is>
          <t>CC-00267</t>
        </is>
      </c>
      <c r="B268" s="99" t="inlineStr">
        <is>
          <t>EVT-2025-025</t>
        </is>
      </c>
      <c r="C268" s="100" t="inlineStr">
        <is>
          <t>Imunexal Advisory Board Athens Jul 2025</t>
        </is>
      </c>
      <c r="D268" s="100" t="inlineStr">
        <is>
          <t>Immunology</t>
        </is>
      </c>
      <c r="E268" s="100" t="inlineStr">
        <is>
          <t>BU Immunology</t>
        </is>
      </c>
      <c r="F268" s="99" t="inlineStr">
        <is>
          <t>Venue</t>
        </is>
      </c>
      <c r="G268" s="99" t="inlineStr">
        <is>
          <t>Jul-2025</t>
        </is>
      </c>
      <c r="H268" s="99" t="inlineStr">
        <is>
          <t>Q3 2025</t>
        </is>
      </c>
      <c r="I268" s="101" t="n">
        <v>6360.39</v>
      </c>
      <c r="J268" s="101" t="n">
        <v>5288.68</v>
      </c>
      <c r="K268" s="101" t="n">
        <v>4842.99</v>
      </c>
      <c r="L268" s="165">
        <f>I268-J268</f>
        <v/>
      </c>
      <c r="M268" s="166">
        <f>IF(I268=0,0,ROUND((I268-J268)/I268,4))</f>
        <v/>
      </c>
      <c r="N268" s="104">
        <f>IF(I268=0,0,J268/I268)</f>
        <v/>
      </c>
      <c r="O268" s="105">
        <f>IF(L268&gt;=0,"Under","Over")</f>
        <v/>
      </c>
      <c r="P268" s="69">
        <f>IF(M268&lt;-0.05,"Watch","On Track")</f>
        <v/>
      </c>
    </row>
    <row r="269" ht="16" customHeight="1">
      <c r="A269" s="106" t="inlineStr">
        <is>
          <t>CC-00268</t>
        </is>
      </c>
      <c r="B269" s="71" t="inlineStr">
        <is>
          <t>EVT-2025-025</t>
        </is>
      </c>
      <c r="C269" s="70" t="inlineStr">
        <is>
          <t>Imunexal Advisory Board Athens Jul 2025</t>
        </is>
      </c>
      <c r="D269" s="70" t="inlineStr">
        <is>
          <t>Immunology</t>
        </is>
      </c>
      <c r="E269" s="70" t="inlineStr">
        <is>
          <t>BU Immunology</t>
        </is>
      </c>
      <c r="F269" s="71" t="inlineStr">
        <is>
          <t>F&amp;B</t>
        </is>
      </c>
      <c r="G269" s="71" t="inlineStr">
        <is>
          <t>Jul-2025</t>
        </is>
      </c>
      <c r="H269" s="71" t="inlineStr">
        <is>
          <t>Q3 2025</t>
        </is>
      </c>
      <c r="I269" s="73" t="n">
        <v>5088.31</v>
      </c>
      <c r="J269" s="73" t="n">
        <v>4132.03</v>
      </c>
      <c r="K269" s="73" t="n">
        <v>3362.58</v>
      </c>
      <c r="L269" s="163">
        <f>I269-J269</f>
        <v/>
      </c>
      <c r="M269" s="161">
        <f>IF(I269=0,0,ROUND((I269-J269)/I269,4))</f>
        <v/>
      </c>
      <c r="N269" s="107">
        <f>IF(I269=0,0,J269/I269)</f>
        <v/>
      </c>
      <c r="O269" s="108">
        <f>IF(L269&gt;=0,"Under","Over")</f>
        <v/>
      </c>
      <c r="P269" s="69">
        <f>IF(M269&lt;-0.05,"Watch","On Track")</f>
        <v/>
      </c>
    </row>
    <row r="270" ht="16" customHeight="1">
      <c r="A270" s="98" t="inlineStr">
        <is>
          <t>CC-00269</t>
        </is>
      </c>
      <c r="B270" s="99" t="inlineStr">
        <is>
          <t>EVT-2025-025</t>
        </is>
      </c>
      <c r="C270" s="100" t="inlineStr">
        <is>
          <t>Imunexal Advisory Board Athens Jul 2025</t>
        </is>
      </c>
      <c r="D270" s="100" t="inlineStr">
        <is>
          <t>Immunology</t>
        </is>
      </c>
      <c r="E270" s="100" t="inlineStr">
        <is>
          <t>BU Immunology</t>
        </is>
      </c>
      <c r="F270" s="99" t="inlineStr">
        <is>
          <t>Logistics</t>
        </is>
      </c>
      <c r="G270" s="99" t="inlineStr">
        <is>
          <t>Jul-2025</t>
        </is>
      </c>
      <c r="H270" s="99" t="inlineStr">
        <is>
          <t>Q3 2025</t>
        </is>
      </c>
      <c r="I270" s="101" t="n">
        <v>2544.15</v>
      </c>
      <c r="J270" s="101" t="n">
        <v>1818.64</v>
      </c>
      <c r="K270" s="101" t="n">
        <v>1524.36</v>
      </c>
      <c r="L270" s="165">
        <f>I270-J270</f>
        <v/>
      </c>
      <c r="M270" s="166">
        <f>IF(I270=0,0,ROUND((I270-J270)/I270,4))</f>
        <v/>
      </c>
      <c r="N270" s="104">
        <f>IF(I270=0,0,J270/I270)</f>
        <v/>
      </c>
      <c r="O270" s="105">
        <f>IF(L270&gt;=0,"Under","Over")</f>
        <v/>
      </c>
      <c r="P270" s="69">
        <f>IF(M270&lt;-0.05,"Watch","On Track")</f>
        <v/>
      </c>
    </row>
    <row r="271" ht="16" customHeight="1">
      <c r="A271" s="106" t="inlineStr">
        <is>
          <t>CC-00270</t>
        </is>
      </c>
      <c r="B271" s="71" t="inlineStr">
        <is>
          <t>EVT-2025-025</t>
        </is>
      </c>
      <c r="C271" s="70" t="inlineStr">
        <is>
          <t>Imunexal Advisory Board Athens Jul 2025</t>
        </is>
      </c>
      <c r="D271" s="70" t="inlineStr">
        <is>
          <t>Immunology</t>
        </is>
      </c>
      <c r="E271" s="70" t="inlineStr">
        <is>
          <t>BU Immunology</t>
        </is>
      </c>
      <c r="F271" s="71" t="inlineStr">
        <is>
          <t>AV &amp; Technology</t>
        </is>
      </c>
      <c r="G271" s="71" t="inlineStr">
        <is>
          <t>Jul-2025</t>
        </is>
      </c>
      <c r="H271" s="71" t="inlineStr">
        <is>
          <t>Q3 2025</t>
        </is>
      </c>
      <c r="I271" s="73" t="n">
        <v>3392.21</v>
      </c>
      <c r="J271" s="73" t="n">
        <v>2298.43</v>
      </c>
      <c r="K271" s="73" t="n">
        <v>1738.86</v>
      </c>
      <c r="L271" s="163">
        <f>I271-J271</f>
        <v/>
      </c>
      <c r="M271" s="161">
        <f>IF(I271=0,0,ROUND((I271-J271)/I271,4))</f>
        <v/>
      </c>
      <c r="N271" s="107">
        <f>IF(I271=0,0,J271/I271)</f>
        <v/>
      </c>
      <c r="O271" s="108">
        <f>IF(L271&gt;=0,"Under","Over")</f>
        <v/>
      </c>
      <c r="P271" s="69">
        <f>IF(M271&lt;-0.05,"Watch","On Track")</f>
        <v/>
      </c>
    </row>
    <row r="272" ht="16" customHeight="1">
      <c r="A272" s="98" t="inlineStr">
        <is>
          <t>CC-00271</t>
        </is>
      </c>
      <c r="B272" s="99" t="inlineStr">
        <is>
          <t>EVT-2025-025</t>
        </is>
      </c>
      <c r="C272" s="100" t="inlineStr">
        <is>
          <t>Imunexal Advisory Board Athens Jul 2025</t>
        </is>
      </c>
      <c r="D272" s="100" t="inlineStr">
        <is>
          <t>Immunology</t>
        </is>
      </c>
      <c r="E272" s="100" t="inlineStr">
        <is>
          <t>BU Immunology</t>
        </is>
      </c>
      <c r="F272" s="99" t="inlineStr">
        <is>
          <t>Agency Fees</t>
        </is>
      </c>
      <c r="G272" s="99" t="inlineStr">
        <is>
          <t>Jul-2025</t>
        </is>
      </c>
      <c r="H272" s="99" t="inlineStr">
        <is>
          <t>Q3 2025</t>
        </is>
      </c>
      <c r="I272" s="101" t="n">
        <v>5936.36</v>
      </c>
      <c r="J272" s="101" t="n">
        <v>6159.59</v>
      </c>
      <c r="K272" s="101" t="n">
        <v>5726.24</v>
      </c>
      <c r="L272" s="167">
        <f>I272-J272</f>
        <v/>
      </c>
      <c r="M272" s="166">
        <f>IF(I272=0,0,ROUND((I272-J272)/I272,4))</f>
        <v/>
      </c>
      <c r="N272" s="104">
        <f>IF(I272=0,0,J272/I272)</f>
        <v/>
      </c>
      <c r="O272" s="111">
        <f>IF(L272&gt;=0,"Under","Over")</f>
        <v/>
      </c>
      <c r="P272" s="69">
        <f>IF(M272&lt;-0.05,"Watch","On Track")</f>
        <v/>
      </c>
    </row>
    <row r="273" ht="16" customHeight="1">
      <c r="A273" s="106" t="inlineStr">
        <is>
          <t>CC-00272</t>
        </is>
      </c>
      <c r="B273" s="71" t="inlineStr">
        <is>
          <t>EVT-2025-025</t>
        </is>
      </c>
      <c r="C273" s="70" t="inlineStr">
        <is>
          <t>Imunexal Advisory Board Athens Jul 2025</t>
        </is>
      </c>
      <c r="D273" s="70" t="inlineStr">
        <is>
          <t>Immunology</t>
        </is>
      </c>
      <c r="E273" s="70" t="inlineStr">
        <is>
          <t>BU Immunology</t>
        </is>
      </c>
      <c r="F273" s="71" t="inlineStr">
        <is>
          <t>Speaker Fees</t>
        </is>
      </c>
      <c r="G273" s="71" t="inlineStr">
        <is>
          <t>Jul-2025</t>
        </is>
      </c>
      <c r="H273" s="71" t="inlineStr">
        <is>
          <t>Q3 2025</t>
        </is>
      </c>
      <c r="I273" s="73" t="n">
        <v>4240.26</v>
      </c>
      <c r="J273" s="73" t="n">
        <v>2612.46</v>
      </c>
      <c r="K273" s="73" t="n">
        <v>2346.14</v>
      </c>
      <c r="L273" s="163">
        <f>I273-J273</f>
        <v/>
      </c>
      <c r="M273" s="161">
        <f>IF(I273=0,0,ROUND((I273-J273)/I273,4))</f>
        <v/>
      </c>
      <c r="N273" s="107">
        <f>IF(I273=0,0,J273/I273)</f>
        <v/>
      </c>
      <c r="O273" s="108">
        <f>IF(L273&gt;=0,"Under","Over")</f>
        <v/>
      </c>
      <c r="P273" s="69">
        <f>IF(M273&lt;-0.05,"Watch","On Track")</f>
        <v/>
      </c>
    </row>
    <row r="274" ht="16" customHeight="1">
      <c r="A274" s="98" t="inlineStr">
        <is>
          <t>CC-00273</t>
        </is>
      </c>
      <c r="B274" s="99" t="inlineStr">
        <is>
          <t>EVT-2025-025</t>
        </is>
      </c>
      <c r="C274" s="100" t="inlineStr">
        <is>
          <t>Imunexal Advisory Board Athens Jul 2025</t>
        </is>
      </c>
      <c r="D274" s="100" t="inlineStr">
        <is>
          <t>Immunology</t>
        </is>
      </c>
      <c r="E274" s="100" t="inlineStr">
        <is>
          <t>BU Immunology</t>
        </is>
      </c>
      <c r="F274" s="99" t="inlineStr">
        <is>
          <t>Translation</t>
        </is>
      </c>
      <c r="G274" s="99" t="inlineStr">
        <is>
          <t>Jul-2025</t>
        </is>
      </c>
      <c r="H274" s="99" t="inlineStr">
        <is>
          <t>Q3 2025</t>
        </is>
      </c>
      <c r="I274" s="101" t="n">
        <v>1272.08</v>
      </c>
      <c r="J274" s="101" t="n">
        <v>1154.36</v>
      </c>
      <c r="K274" s="101" t="n">
        <v>1132.28</v>
      </c>
      <c r="L274" s="165">
        <f>I274-J274</f>
        <v/>
      </c>
      <c r="M274" s="166">
        <f>IF(I274=0,0,ROUND((I274-J274)/I274,4))</f>
        <v/>
      </c>
      <c r="N274" s="104">
        <f>IF(I274=0,0,J274/I274)</f>
        <v/>
      </c>
      <c r="O274" s="105">
        <f>IF(L274&gt;=0,"Under","Over")</f>
        <v/>
      </c>
      <c r="P274" s="69">
        <f>IF(M274&lt;-0.05,"Watch","On Track")</f>
        <v/>
      </c>
    </row>
    <row r="275" ht="16" customHeight="1">
      <c r="A275" s="106" t="inlineStr">
        <is>
          <t>CC-00274</t>
        </is>
      </c>
      <c r="B275" s="71" t="inlineStr">
        <is>
          <t>EVT-2025-025</t>
        </is>
      </c>
      <c r="C275" s="70" t="inlineStr">
        <is>
          <t>Imunexal Advisory Board Athens Jul 2025</t>
        </is>
      </c>
      <c r="D275" s="70" t="inlineStr">
        <is>
          <t>Immunology</t>
        </is>
      </c>
      <c r="E275" s="70" t="inlineStr">
        <is>
          <t>BU Immunology</t>
        </is>
      </c>
      <c r="F275" s="71" t="inlineStr">
        <is>
          <t>Print &amp; Production</t>
        </is>
      </c>
      <c r="G275" s="71" t="inlineStr">
        <is>
          <t>Jul-2025</t>
        </is>
      </c>
      <c r="H275" s="71" t="inlineStr">
        <is>
          <t>Q3 2025</t>
        </is>
      </c>
      <c r="I275" s="73" t="n">
        <v>848.05</v>
      </c>
      <c r="J275" s="73" t="n">
        <v>885.8099999999999</v>
      </c>
      <c r="K275" s="73" t="n">
        <v>684.02</v>
      </c>
      <c r="L275" s="158">
        <f>I275-J275</f>
        <v/>
      </c>
      <c r="M275" s="161">
        <f>IF(I275=0,0,ROUND((I275-J275)/I275,4))</f>
        <v/>
      </c>
      <c r="N275" s="107">
        <f>IF(I275=0,0,J275/I275)</f>
        <v/>
      </c>
      <c r="O275" s="112">
        <f>IF(L275&gt;=0,"Under","Over")</f>
        <v/>
      </c>
      <c r="P275" s="69">
        <f>IF(M275&lt;-0.05,"Watch","On Track")</f>
        <v/>
      </c>
    </row>
    <row r="276" ht="16" customHeight="1">
      <c r="A276" s="98" t="inlineStr">
        <is>
          <t>CC-00275</t>
        </is>
      </c>
      <c r="B276" s="99" t="inlineStr">
        <is>
          <t>EVT-2025-025</t>
        </is>
      </c>
      <c r="C276" s="100" t="inlineStr">
        <is>
          <t>Imunexal Advisory Board Athens Jul 2025</t>
        </is>
      </c>
      <c r="D276" s="100" t="inlineStr">
        <is>
          <t>Immunology</t>
        </is>
      </c>
      <c r="E276" s="100" t="inlineStr">
        <is>
          <t>BU Immunology</t>
        </is>
      </c>
      <c r="F276" s="99" t="inlineStr">
        <is>
          <t>Miscellaneous</t>
        </is>
      </c>
      <c r="G276" s="99" t="inlineStr">
        <is>
          <t>Jul-2025</t>
        </is>
      </c>
      <c r="H276" s="99" t="inlineStr">
        <is>
          <t>Q3 2025</t>
        </is>
      </c>
      <c r="I276" s="101" t="n">
        <v>848.05</v>
      </c>
      <c r="J276" s="101" t="n">
        <v>537.36</v>
      </c>
      <c r="K276" s="101" t="n">
        <v>471.9</v>
      </c>
      <c r="L276" s="165">
        <f>I276-J276</f>
        <v/>
      </c>
      <c r="M276" s="166">
        <f>IF(I276=0,0,ROUND((I276-J276)/I276,4))</f>
        <v/>
      </c>
      <c r="N276" s="104">
        <f>IF(I276=0,0,J276/I276)</f>
        <v/>
      </c>
      <c r="O276" s="105">
        <f>IF(L276&gt;=0,"Under","Over")</f>
        <v/>
      </c>
      <c r="P276" s="69">
        <f>IF(M276&lt;-0.05,"Watch","On Track")</f>
        <v/>
      </c>
    </row>
    <row r="277" ht="16" customHeight="1">
      <c r="A277" s="106" t="inlineStr">
        <is>
          <t>CC-00276</t>
        </is>
      </c>
      <c r="B277" s="71" t="inlineStr">
        <is>
          <t>EVT-2025-026</t>
        </is>
      </c>
      <c r="C277" s="70" t="inlineStr">
        <is>
          <t>Cordavex Investigator Meeting Stockholm Feb 2025</t>
        </is>
      </c>
      <c r="D277" s="70" t="inlineStr">
        <is>
          <t>Cardiology</t>
        </is>
      </c>
      <c r="E277" s="70" t="inlineStr">
        <is>
          <t>BU Cardiovascular</t>
        </is>
      </c>
      <c r="F277" s="71" t="inlineStr">
        <is>
          <t>Airfare</t>
        </is>
      </c>
      <c r="G277" s="71" t="inlineStr">
        <is>
          <t>Feb-2025</t>
        </is>
      </c>
      <c r="H277" s="71" t="inlineStr">
        <is>
          <t>Q1 2025</t>
        </is>
      </c>
      <c r="I277" s="73" t="n">
        <v>26069.92</v>
      </c>
      <c r="J277" s="73" t="n">
        <v>21461.29</v>
      </c>
      <c r="K277" s="73" t="n">
        <v>0</v>
      </c>
      <c r="L277" s="163">
        <f>I277-J277</f>
        <v/>
      </c>
      <c r="M277" s="161">
        <f>IF(I277=0,0,ROUND((I277-J277)/I277,4))</f>
        <v/>
      </c>
      <c r="N277" s="107">
        <f>IF(I277=0,0,J277/I277)</f>
        <v/>
      </c>
      <c r="O277" s="108">
        <f>IF(L277&gt;=0,"Under","Over")</f>
        <v/>
      </c>
      <c r="P277" s="69">
        <f>IF(M277&lt;-0.05,"Watch","On Track")</f>
        <v/>
      </c>
    </row>
    <row r="278" ht="16" customHeight="1">
      <c r="A278" s="98" t="inlineStr">
        <is>
          <t>CC-00277</t>
        </is>
      </c>
      <c r="B278" s="99" t="inlineStr">
        <is>
          <t>EVT-2025-026</t>
        </is>
      </c>
      <c r="C278" s="100" t="inlineStr">
        <is>
          <t>Cordavex Investigator Meeting Stockholm Feb 2025</t>
        </is>
      </c>
      <c r="D278" s="100" t="inlineStr">
        <is>
          <t>Cardiology</t>
        </is>
      </c>
      <c r="E278" s="100" t="inlineStr">
        <is>
          <t>BU Cardiovascular</t>
        </is>
      </c>
      <c r="F278" s="99" t="inlineStr">
        <is>
          <t>Hotel</t>
        </is>
      </c>
      <c r="G278" s="99" t="inlineStr">
        <is>
          <t>Feb-2025</t>
        </is>
      </c>
      <c r="H278" s="99" t="inlineStr">
        <is>
          <t>Q1 2025</t>
        </is>
      </c>
      <c r="I278" s="101" t="n">
        <v>46925.86</v>
      </c>
      <c r="J278" s="101" t="n">
        <v>43923.16</v>
      </c>
      <c r="K278" s="101" t="n">
        <v>0</v>
      </c>
      <c r="L278" s="165">
        <f>I278-J278</f>
        <v/>
      </c>
      <c r="M278" s="166">
        <f>IF(I278=0,0,ROUND((I278-J278)/I278,4))</f>
        <v/>
      </c>
      <c r="N278" s="104">
        <f>IF(I278=0,0,J278/I278)</f>
        <v/>
      </c>
      <c r="O278" s="105">
        <f>IF(L278&gt;=0,"Under","Over")</f>
        <v/>
      </c>
      <c r="P278" s="69">
        <f>IF(M278&lt;-0.05,"Watch","On Track")</f>
        <v/>
      </c>
    </row>
    <row r="279" ht="16" customHeight="1">
      <c r="A279" s="106" t="inlineStr">
        <is>
          <t>CC-00278</t>
        </is>
      </c>
      <c r="B279" s="71" t="inlineStr">
        <is>
          <t>EVT-2025-026</t>
        </is>
      </c>
      <c r="C279" s="70" t="inlineStr">
        <is>
          <t>Cordavex Investigator Meeting Stockholm Feb 2025</t>
        </is>
      </c>
      <c r="D279" s="70" t="inlineStr">
        <is>
          <t>Cardiology</t>
        </is>
      </c>
      <c r="E279" s="70" t="inlineStr">
        <is>
          <t>BU Cardiovascular</t>
        </is>
      </c>
      <c r="F279" s="71" t="inlineStr">
        <is>
          <t>Venue</t>
        </is>
      </c>
      <c r="G279" s="71" t="inlineStr">
        <is>
          <t>Feb-2025</t>
        </is>
      </c>
      <c r="H279" s="71" t="inlineStr">
        <is>
          <t>Q1 2025</t>
        </is>
      </c>
      <c r="I279" s="73" t="n">
        <v>39104.88</v>
      </c>
      <c r="J279" s="73" t="n">
        <v>40516.81</v>
      </c>
      <c r="K279" s="73" t="n">
        <v>0</v>
      </c>
      <c r="L279" s="158">
        <f>I279-J279</f>
        <v/>
      </c>
      <c r="M279" s="161">
        <f>IF(I279=0,0,ROUND((I279-J279)/I279,4))</f>
        <v/>
      </c>
      <c r="N279" s="107">
        <f>IF(I279=0,0,J279/I279)</f>
        <v/>
      </c>
      <c r="O279" s="112">
        <f>IF(L279&gt;=0,"Under","Over")</f>
        <v/>
      </c>
      <c r="P279" s="69">
        <f>IF(M279&lt;-0.05,"Watch","On Track")</f>
        <v/>
      </c>
    </row>
    <row r="280" ht="16" customHeight="1">
      <c r="A280" s="98" t="inlineStr">
        <is>
          <t>CC-00279</t>
        </is>
      </c>
      <c r="B280" s="99" t="inlineStr">
        <is>
          <t>EVT-2025-026</t>
        </is>
      </c>
      <c r="C280" s="100" t="inlineStr">
        <is>
          <t>Cordavex Investigator Meeting Stockholm Feb 2025</t>
        </is>
      </c>
      <c r="D280" s="100" t="inlineStr">
        <is>
          <t>Cardiology</t>
        </is>
      </c>
      <c r="E280" s="100" t="inlineStr">
        <is>
          <t>BU Cardiovascular</t>
        </is>
      </c>
      <c r="F280" s="99" t="inlineStr">
        <is>
          <t>F&amp;B</t>
        </is>
      </c>
      <c r="G280" s="99" t="inlineStr">
        <is>
          <t>Feb-2025</t>
        </is>
      </c>
      <c r="H280" s="99" t="inlineStr">
        <is>
          <t>Q1 2025</t>
        </is>
      </c>
      <c r="I280" s="101" t="n">
        <v>31283.9</v>
      </c>
      <c r="J280" s="101" t="n">
        <v>22598.46</v>
      </c>
      <c r="K280" s="101" t="n">
        <v>0</v>
      </c>
      <c r="L280" s="165">
        <f>I280-J280</f>
        <v/>
      </c>
      <c r="M280" s="166">
        <f>IF(I280=0,0,ROUND((I280-J280)/I280,4))</f>
        <v/>
      </c>
      <c r="N280" s="104">
        <f>IF(I280=0,0,J280/I280)</f>
        <v/>
      </c>
      <c r="O280" s="105">
        <f>IF(L280&gt;=0,"Under","Over")</f>
        <v/>
      </c>
      <c r="P280" s="69">
        <f>IF(M280&lt;-0.05,"Watch","On Track")</f>
        <v/>
      </c>
    </row>
    <row r="281" ht="16" customHeight="1">
      <c r="A281" s="106" t="inlineStr">
        <is>
          <t>CC-00280</t>
        </is>
      </c>
      <c r="B281" s="71" t="inlineStr">
        <is>
          <t>EVT-2025-026</t>
        </is>
      </c>
      <c r="C281" s="70" t="inlineStr">
        <is>
          <t>Cordavex Investigator Meeting Stockholm Feb 2025</t>
        </is>
      </c>
      <c r="D281" s="70" t="inlineStr">
        <is>
          <t>Cardiology</t>
        </is>
      </c>
      <c r="E281" s="70" t="inlineStr">
        <is>
          <t>BU Cardiovascular</t>
        </is>
      </c>
      <c r="F281" s="71" t="inlineStr">
        <is>
          <t>Logistics</t>
        </is>
      </c>
      <c r="G281" s="71" t="inlineStr">
        <is>
          <t>Feb-2025</t>
        </is>
      </c>
      <c r="H281" s="71" t="inlineStr">
        <is>
          <t>Q1 2025</t>
        </is>
      </c>
      <c r="I281" s="73" t="n">
        <v>15641.95</v>
      </c>
      <c r="J281" s="73" t="n">
        <v>9731.139999999999</v>
      </c>
      <c r="K281" s="73" t="n">
        <v>0</v>
      </c>
      <c r="L281" s="163">
        <f>I281-J281</f>
        <v/>
      </c>
      <c r="M281" s="161">
        <f>IF(I281=0,0,ROUND((I281-J281)/I281,4))</f>
        <v/>
      </c>
      <c r="N281" s="107">
        <f>IF(I281=0,0,J281/I281)</f>
        <v/>
      </c>
      <c r="O281" s="108">
        <f>IF(L281&gt;=0,"Under","Over")</f>
        <v/>
      </c>
      <c r="P281" s="69">
        <f>IF(M281&lt;-0.05,"Watch","On Track")</f>
        <v/>
      </c>
    </row>
    <row r="282" ht="16" customHeight="1">
      <c r="A282" s="98" t="inlineStr">
        <is>
          <t>CC-00281</t>
        </is>
      </c>
      <c r="B282" s="99" t="inlineStr">
        <is>
          <t>EVT-2025-026</t>
        </is>
      </c>
      <c r="C282" s="100" t="inlineStr">
        <is>
          <t>Cordavex Investigator Meeting Stockholm Feb 2025</t>
        </is>
      </c>
      <c r="D282" s="100" t="inlineStr">
        <is>
          <t>Cardiology</t>
        </is>
      </c>
      <c r="E282" s="100" t="inlineStr">
        <is>
          <t>BU Cardiovascular</t>
        </is>
      </c>
      <c r="F282" s="99" t="inlineStr">
        <is>
          <t>AV &amp; Technology</t>
        </is>
      </c>
      <c r="G282" s="99" t="inlineStr">
        <is>
          <t>Feb-2025</t>
        </is>
      </c>
      <c r="H282" s="99" t="inlineStr">
        <is>
          <t>Q1 2025</t>
        </is>
      </c>
      <c r="I282" s="101" t="n">
        <v>20855.94</v>
      </c>
      <c r="J282" s="101" t="n">
        <v>17091.06</v>
      </c>
      <c r="K282" s="101" t="n">
        <v>0</v>
      </c>
      <c r="L282" s="165">
        <f>I282-J282</f>
        <v/>
      </c>
      <c r="M282" s="166">
        <f>IF(I282=0,0,ROUND((I282-J282)/I282,4))</f>
        <v/>
      </c>
      <c r="N282" s="104">
        <f>IF(I282=0,0,J282/I282)</f>
        <v/>
      </c>
      <c r="O282" s="105">
        <f>IF(L282&gt;=0,"Under","Over")</f>
        <v/>
      </c>
      <c r="P282" s="69">
        <f>IF(M282&lt;-0.05,"Watch","On Track")</f>
        <v/>
      </c>
    </row>
    <row r="283" ht="16" customHeight="1">
      <c r="A283" s="106" t="inlineStr">
        <is>
          <t>CC-00282</t>
        </is>
      </c>
      <c r="B283" s="71" t="inlineStr">
        <is>
          <t>EVT-2025-026</t>
        </is>
      </c>
      <c r="C283" s="70" t="inlineStr">
        <is>
          <t>Cordavex Investigator Meeting Stockholm Feb 2025</t>
        </is>
      </c>
      <c r="D283" s="70" t="inlineStr">
        <is>
          <t>Cardiology</t>
        </is>
      </c>
      <c r="E283" s="70" t="inlineStr">
        <is>
          <t>BU Cardiovascular</t>
        </is>
      </c>
      <c r="F283" s="71" t="inlineStr">
        <is>
          <t>Agency Fees</t>
        </is>
      </c>
      <c r="G283" s="71" t="inlineStr">
        <is>
          <t>Feb-2025</t>
        </is>
      </c>
      <c r="H283" s="71" t="inlineStr">
        <is>
          <t>Q1 2025</t>
        </is>
      </c>
      <c r="I283" s="73" t="n">
        <v>36497.89</v>
      </c>
      <c r="J283" s="73" t="n">
        <v>31748.78</v>
      </c>
      <c r="K283" s="73" t="n">
        <v>0</v>
      </c>
      <c r="L283" s="163">
        <f>I283-J283</f>
        <v/>
      </c>
      <c r="M283" s="161">
        <f>IF(I283=0,0,ROUND((I283-J283)/I283,4))</f>
        <v/>
      </c>
      <c r="N283" s="107">
        <f>IF(I283=0,0,J283/I283)</f>
        <v/>
      </c>
      <c r="O283" s="108">
        <f>IF(L283&gt;=0,"Under","Over")</f>
        <v/>
      </c>
      <c r="P283" s="69">
        <f>IF(M283&lt;-0.05,"Watch","On Track")</f>
        <v/>
      </c>
    </row>
    <row r="284" ht="16" customHeight="1">
      <c r="A284" s="98" t="inlineStr">
        <is>
          <t>CC-00283</t>
        </is>
      </c>
      <c r="B284" s="99" t="inlineStr">
        <is>
          <t>EVT-2025-026</t>
        </is>
      </c>
      <c r="C284" s="100" t="inlineStr">
        <is>
          <t>Cordavex Investigator Meeting Stockholm Feb 2025</t>
        </is>
      </c>
      <c r="D284" s="100" t="inlineStr">
        <is>
          <t>Cardiology</t>
        </is>
      </c>
      <c r="E284" s="100" t="inlineStr">
        <is>
          <t>BU Cardiovascular</t>
        </is>
      </c>
      <c r="F284" s="99" t="inlineStr">
        <is>
          <t>Speaker Fees</t>
        </is>
      </c>
      <c r="G284" s="99" t="inlineStr">
        <is>
          <t>Feb-2025</t>
        </is>
      </c>
      <c r="H284" s="99" t="inlineStr">
        <is>
          <t>Q1 2025</t>
        </is>
      </c>
      <c r="I284" s="101" t="n">
        <v>26069.92</v>
      </c>
      <c r="J284" s="101" t="n">
        <v>25475.34</v>
      </c>
      <c r="K284" s="101" t="n">
        <v>0</v>
      </c>
      <c r="L284" s="165">
        <f>I284-J284</f>
        <v/>
      </c>
      <c r="M284" s="166">
        <f>IF(I284=0,0,ROUND((I284-J284)/I284,4))</f>
        <v/>
      </c>
      <c r="N284" s="104">
        <f>IF(I284=0,0,J284/I284)</f>
        <v/>
      </c>
      <c r="O284" s="105">
        <f>IF(L284&gt;=0,"Under","Over")</f>
        <v/>
      </c>
      <c r="P284" s="69">
        <f>IF(M284&lt;-0.05,"Watch","On Track")</f>
        <v/>
      </c>
    </row>
    <row r="285" ht="16" customHeight="1">
      <c r="A285" s="106" t="inlineStr">
        <is>
          <t>CC-00284</t>
        </is>
      </c>
      <c r="B285" s="71" t="inlineStr">
        <is>
          <t>EVT-2025-026</t>
        </is>
      </c>
      <c r="C285" s="70" t="inlineStr">
        <is>
          <t>Cordavex Investigator Meeting Stockholm Feb 2025</t>
        </is>
      </c>
      <c r="D285" s="70" t="inlineStr">
        <is>
          <t>Cardiology</t>
        </is>
      </c>
      <c r="E285" s="70" t="inlineStr">
        <is>
          <t>BU Cardiovascular</t>
        </is>
      </c>
      <c r="F285" s="71" t="inlineStr">
        <is>
          <t>Translation</t>
        </is>
      </c>
      <c r="G285" s="71" t="inlineStr">
        <is>
          <t>Feb-2025</t>
        </is>
      </c>
      <c r="H285" s="71" t="inlineStr">
        <is>
          <t>Q1 2025</t>
        </is>
      </c>
      <c r="I285" s="73" t="n">
        <v>7820.98</v>
      </c>
      <c r="J285" s="73" t="n">
        <v>7727.38</v>
      </c>
      <c r="K285" s="73" t="n">
        <v>0</v>
      </c>
      <c r="L285" s="163">
        <f>I285-J285</f>
        <v/>
      </c>
      <c r="M285" s="161">
        <f>IF(I285=0,0,ROUND((I285-J285)/I285,4))</f>
        <v/>
      </c>
      <c r="N285" s="107">
        <f>IF(I285=0,0,J285/I285)</f>
        <v/>
      </c>
      <c r="O285" s="108">
        <f>IF(L285&gt;=0,"Under","Over")</f>
        <v/>
      </c>
      <c r="P285" s="69">
        <f>IF(M285&lt;-0.05,"Watch","On Track")</f>
        <v/>
      </c>
    </row>
    <row r="286" ht="16" customHeight="1">
      <c r="A286" s="98" t="inlineStr">
        <is>
          <t>CC-00285</t>
        </is>
      </c>
      <c r="B286" s="99" t="inlineStr">
        <is>
          <t>EVT-2025-026</t>
        </is>
      </c>
      <c r="C286" s="100" t="inlineStr">
        <is>
          <t>Cordavex Investigator Meeting Stockholm Feb 2025</t>
        </is>
      </c>
      <c r="D286" s="100" t="inlineStr">
        <is>
          <t>Cardiology</t>
        </is>
      </c>
      <c r="E286" s="100" t="inlineStr">
        <is>
          <t>BU Cardiovascular</t>
        </is>
      </c>
      <c r="F286" s="99" t="inlineStr">
        <is>
          <t>Print &amp; Production</t>
        </is>
      </c>
      <c r="G286" s="99" t="inlineStr">
        <is>
          <t>Feb-2025</t>
        </is>
      </c>
      <c r="H286" s="99" t="inlineStr">
        <is>
          <t>Q1 2025</t>
        </is>
      </c>
      <c r="I286" s="101" t="n">
        <v>5213.98</v>
      </c>
      <c r="J286" s="101" t="n">
        <v>3493.72</v>
      </c>
      <c r="K286" s="101" t="n">
        <v>0</v>
      </c>
      <c r="L286" s="165">
        <f>I286-J286</f>
        <v/>
      </c>
      <c r="M286" s="166">
        <f>IF(I286=0,0,ROUND((I286-J286)/I286,4))</f>
        <v/>
      </c>
      <c r="N286" s="104">
        <f>IF(I286=0,0,J286/I286)</f>
        <v/>
      </c>
      <c r="O286" s="105">
        <f>IF(L286&gt;=0,"Under","Over")</f>
        <v/>
      </c>
      <c r="P286" s="69">
        <f>IF(M286&lt;-0.05,"Watch","On Track")</f>
        <v/>
      </c>
    </row>
    <row r="287" ht="16" customHeight="1">
      <c r="A287" s="106" t="inlineStr">
        <is>
          <t>CC-00286</t>
        </is>
      </c>
      <c r="B287" s="71" t="inlineStr">
        <is>
          <t>EVT-2025-026</t>
        </is>
      </c>
      <c r="C287" s="70" t="inlineStr">
        <is>
          <t>Cordavex Investigator Meeting Stockholm Feb 2025</t>
        </is>
      </c>
      <c r="D287" s="70" t="inlineStr">
        <is>
          <t>Cardiology</t>
        </is>
      </c>
      <c r="E287" s="70" t="inlineStr">
        <is>
          <t>BU Cardiovascular</t>
        </is>
      </c>
      <c r="F287" s="71" t="inlineStr">
        <is>
          <t>Miscellaneous</t>
        </is>
      </c>
      <c r="G287" s="71" t="inlineStr">
        <is>
          <t>Feb-2025</t>
        </is>
      </c>
      <c r="H287" s="71" t="inlineStr">
        <is>
          <t>Q1 2025</t>
        </is>
      </c>
      <c r="I287" s="73" t="n">
        <v>5213.98</v>
      </c>
      <c r="J287" s="73" t="n">
        <v>5718.39</v>
      </c>
      <c r="K287" s="73" t="n">
        <v>0</v>
      </c>
      <c r="L287" s="158">
        <f>I287-J287</f>
        <v/>
      </c>
      <c r="M287" s="159">
        <f>IF(I287=0,0,ROUND((I287-J287)/I287,4))</f>
        <v/>
      </c>
      <c r="N287" s="107">
        <f>IF(I287=0,0,J287/I287)</f>
        <v/>
      </c>
      <c r="O287" s="112">
        <f>IF(L287&gt;=0,"Under","Over")</f>
        <v/>
      </c>
      <c r="P287" s="76">
        <f>IF(M287&lt;-0.05,"Watch","On Track")</f>
        <v/>
      </c>
    </row>
    <row r="288" ht="16" customHeight="1">
      <c r="A288" s="98" t="inlineStr">
        <is>
          <t>CC-00287</t>
        </is>
      </c>
      <c r="B288" s="99" t="inlineStr">
        <is>
          <t>EVT-2025-027</t>
        </is>
      </c>
      <c r="C288" s="100" t="inlineStr">
        <is>
          <t>Hemaflex Internal Meeting Warsaw May 2025</t>
        </is>
      </c>
      <c r="D288" s="100" t="inlineStr">
        <is>
          <t>Hematology</t>
        </is>
      </c>
      <c r="E288" s="100" t="inlineStr">
        <is>
          <t>BU Oncology</t>
        </is>
      </c>
      <c r="F288" s="99" t="inlineStr">
        <is>
          <t>Airfare</t>
        </is>
      </c>
      <c r="G288" s="99" t="inlineStr">
        <is>
          <t>May-2025</t>
        </is>
      </c>
      <c r="H288" s="99" t="inlineStr">
        <is>
          <t>Q2 2025</t>
        </is>
      </c>
      <c r="I288" s="101" t="n">
        <v>5509.33</v>
      </c>
      <c r="J288" s="101" t="n">
        <v>3950.63</v>
      </c>
      <c r="K288" s="101" t="n">
        <v>3851.54</v>
      </c>
      <c r="L288" s="165">
        <f>I288-J288</f>
        <v/>
      </c>
      <c r="M288" s="166">
        <f>IF(I288=0,0,ROUND((I288-J288)/I288,4))</f>
        <v/>
      </c>
      <c r="N288" s="104">
        <f>IF(I288=0,0,J288/I288)</f>
        <v/>
      </c>
      <c r="O288" s="105">
        <f>IF(L288&gt;=0,"Under","Over")</f>
        <v/>
      </c>
      <c r="P288" s="69">
        <f>IF(M288&lt;-0.05,"Watch","On Track")</f>
        <v/>
      </c>
    </row>
    <row r="289" ht="16" customHeight="1">
      <c r="A289" s="106" t="inlineStr">
        <is>
          <t>CC-00288</t>
        </is>
      </c>
      <c r="B289" s="71" t="inlineStr">
        <is>
          <t>EVT-2025-027</t>
        </is>
      </c>
      <c r="C289" s="70" t="inlineStr">
        <is>
          <t>Hemaflex Internal Meeting Warsaw May 2025</t>
        </is>
      </c>
      <c r="D289" s="70" t="inlineStr">
        <is>
          <t>Hematology</t>
        </is>
      </c>
      <c r="E289" s="70" t="inlineStr">
        <is>
          <t>BU Oncology</t>
        </is>
      </c>
      <c r="F289" s="71" t="inlineStr">
        <is>
          <t>Hotel</t>
        </is>
      </c>
      <c r="G289" s="71" t="inlineStr">
        <is>
          <t>May-2025</t>
        </is>
      </c>
      <c r="H289" s="71" t="inlineStr">
        <is>
          <t>Q2 2025</t>
        </is>
      </c>
      <c r="I289" s="73" t="n">
        <v>9916.790000000001</v>
      </c>
      <c r="J289" s="73" t="n">
        <v>8806.66</v>
      </c>
      <c r="K289" s="73" t="n">
        <v>7690.35</v>
      </c>
      <c r="L289" s="163">
        <f>I289-J289</f>
        <v/>
      </c>
      <c r="M289" s="161">
        <f>IF(I289=0,0,ROUND((I289-J289)/I289,4))</f>
        <v/>
      </c>
      <c r="N289" s="107">
        <f>IF(I289=0,0,J289/I289)</f>
        <v/>
      </c>
      <c r="O289" s="108">
        <f>IF(L289&gt;=0,"Under","Over")</f>
        <v/>
      </c>
      <c r="P289" s="69">
        <f>IF(M289&lt;-0.05,"Watch","On Track")</f>
        <v/>
      </c>
    </row>
    <row r="290" ht="16" customHeight="1">
      <c r="A290" s="98" t="inlineStr">
        <is>
          <t>CC-00289</t>
        </is>
      </c>
      <c r="B290" s="99" t="inlineStr">
        <is>
          <t>EVT-2025-027</t>
        </is>
      </c>
      <c r="C290" s="100" t="inlineStr">
        <is>
          <t>Hemaflex Internal Meeting Warsaw May 2025</t>
        </is>
      </c>
      <c r="D290" s="100" t="inlineStr">
        <is>
          <t>Hematology</t>
        </is>
      </c>
      <c r="E290" s="100" t="inlineStr">
        <is>
          <t>BU Oncology</t>
        </is>
      </c>
      <c r="F290" s="99" t="inlineStr">
        <is>
          <t>Venue</t>
        </is>
      </c>
      <c r="G290" s="99" t="inlineStr">
        <is>
          <t>May-2025</t>
        </is>
      </c>
      <c r="H290" s="99" t="inlineStr">
        <is>
          <t>Q2 2025</t>
        </is>
      </c>
      <c r="I290" s="101" t="n">
        <v>8263.99</v>
      </c>
      <c r="J290" s="101" t="n">
        <v>8150.52</v>
      </c>
      <c r="K290" s="101" t="n">
        <v>7706.44</v>
      </c>
      <c r="L290" s="165">
        <f>I290-J290</f>
        <v/>
      </c>
      <c r="M290" s="166">
        <f>IF(I290=0,0,ROUND((I290-J290)/I290,4))</f>
        <v/>
      </c>
      <c r="N290" s="104">
        <f>IF(I290=0,0,J290/I290)</f>
        <v/>
      </c>
      <c r="O290" s="105">
        <f>IF(L290&gt;=0,"Under","Over")</f>
        <v/>
      </c>
      <c r="P290" s="69">
        <f>IF(M290&lt;-0.05,"Watch","On Track")</f>
        <v/>
      </c>
    </row>
    <row r="291" ht="16" customHeight="1">
      <c r="A291" s="106" t="inlineStr">
        <is>
          <t>CC-00290</t>
        </is>
      </c>
      <c r="B291" s="71" t="inlineStr">
        <is>
          <t>EVT-2025-027</t>
        </is>
      </c>
      <c r="C291" s="70" t="inlineStr">
        <is>
          <t>Hemaflex Internal Meeting Warsaw May 2025</t>
        </is>
      </c>
      <c r="D291" s="70" t="inlineStr">
        <is>
          <t>Hematology</t>
        </is>
      </c>
      <c r="E291" s="70" t="inlineStr">
        <is>
          <t>BU Oncology</t>
        </is>
      </c>
      <c r="F291" s="71" t="inlineStr">
        <is>
          <t>F&amp;B</t>
        </is>
      </c>
      <c r="G291" s="71" t="inlineStr">
        <is>
          <t>May-2025</t>
        </is>
      </c>
      <c r="H291" s="71" t="inlineStr">
        <is>
          <t>Q2 2025</t>
        </is>
      </c>
      <c r="I291" s="73" t="n">
        <v>6611.19</v>
      </c>
      <c r="J291" s="73" t="n">
        <v>4749.82</v>
      </c>
      <c r="K291" s="73" t="n">
        <v>4573.49</v>
      </c>
      <c r="L291" s="163">
        <f>I291-J291</f>
        <v/>
      </c>
      <c r="M291" s="161">
        <f>IF(I291=0,0,ROUND((I291-J291)/I291,4))</f>
        <v/>
      </c>
      <c r="N291" s="107">
        <f>IF(I291=0,0,J291/I291)</f>
        <v/>
      </c>
      <c r="O291" s="108">
        <f>IF(L291&gt;=0,"Under","Over")</f>
        <v/>
      </c>
      <c r="P291" s="69">
        <f>IF(M291&lt;-0.05,"Watch","On Track")</f>
        <v/>
      </c>
    </row>
    <row r="292" ht="16" customHeight="1">
      <c r="A292" s="98" t="inlineStr">
        <is>
          <t>CC-00291</t>
        </is>
      </c>
      <c r="B292" s="99" t="inlineStr">
        <is>
          <t>EVT-2025-027</t>
        </is>
      </c>
      <c r="C292" s="100" t="inlineStr">
        <is>
          <t>Hemaflex Internal Meeting Warsaw May 2025</t>
        </is>
      </c>
      <c r="D292" s="100" t="inlineStr">
        <is>
          <t>Hematology</t>
        </is>
      </c>
      <c r="E292" s="100" t="inlineStr">
        <is>
          <t>BU Oncology</t>
        </is>
      </c>
      <c r="F292" s="99" t="inlineStr">
        <is>
          <t>Logistics</t>
        </is>
      </c>
      <c r="G292" s="99" t="inlineStr">
        <is>
          <t>May-2025</t>
        </is>
      </c>
      <c r="H292" s="99" t="inlineStr">
        <is>
          <t>Q2 2025</t>
        </is>
      </c>
      <c r="I292" s="101" t="n">
        <v>3305.6</v>
      </c>
      <c r="J292" s="101" t="n">
        <v>3612.52</v>
      </c>
      <c r="K292" s="101" t="n">
        <v>3093.67</v>
      </c>
      <c r="L292" s="167">
        <f>I292-J292</f>
        <v/>
      </c>
      <c r="M292" s="168">
        <f>IF(I292=0,0,ROUND((I292-J292)/I292,4))</f>
        <v/>
      </c>
      <c r="N292" s="104">
        <f>IF(I292=0,0,J292/I292)</f>
        <v/>
      </c>
      <c r="O292" s="111">
        <f>IF(L292&gt;=0,"Under","Over")</f>
        <v/>
      </c>
      <c r="P292" s="76">
        <f>IF(M292&lt;-0.05,"Watch","On Track")</f>
        <v/>
      </c>
    </row>
    <row r="293" ht="16" customHeight="1">
      <c r="A293" s="106" t="inlineStr">
        <is>
          <t>CC-00292</t>
        </is>
      </c>
      <c r="B293" s="71" t="inlineStr">
        <is>
          <t>EVT-2025-027</t>
        </is>
      </c>
      <c r="C293" s="70" t="inlineStr">
        <is>
          <t>Hemaflex Internal Meeting Warsaw May 2025</t>
        </is>
      </c>
      <c r="D293" s="70" t="inlineStr">
        <is>
          <t>Hematology</t>
        </is>
      </c>
      <c r="E293" s="70" t="inlineStr">
        <is>
          <t>BU Oncology</t>
        </is>
      </c>
      <c r="F293" s="71" t="inlineStr">
        <is>
          <t>AV &amp; Technology</t>
        </is>
      </c>
      <c r="G293" s="71" t="inlineStr">
        <is>
          <t>May-2025</t>
        </is>
      </c>
      <c r="H293" s="71" t="inlineStr">
        <is>
          <t>Q2 2025</t>
        </is>
      </c>
      <c r="I293" s="73" t="n">
        <v>4407.46</v>
      </c>
      <c r="J293" s="73" t="n">
        <v>3555.85</v>
      </c>
      <c r="K293" s="73" t="n">
        <v>2782.62</v>
      </c>
      <c r="L293" s="163">
        <f>I293-J293</f>
        <v/>
      </c>
      <c r="M293" s="161">
        <f>IF(I293=0,0,ROUND((I293-J293)/I293,4))</f>
        <v/>
      </c>
      <c r="N293" s="107">
        <f>IF(I293=0,0,J293/I293)</f>
        <v/>
      </c>
      <c r="O293" s="108">
        <f>IF(L293&gt;=0,"Under","Over")</f>
        <v/>
      </c>
      <c r="P293" s="69">
        <f>IF(M293&lt;-0.05,"Watch","On Track")</f>
        <v/>
      </c>
    </row>
    <row r="294" ht="16" customHeight="1">
      <c r="A294" s="98" t="inlineStr">
        <is>
          <t>CC-00293</t>
        </is>
      </c>
      <c r="B294" s="99" t="inlineStr">
        <is>
          <t>EVT-2025-027</t>
        </is>
      </c>
      <c r="C294" s="100" t="inlineStr">
        <is>
          <t>Hemaflex Internal Meeting Warsaw May 2025</t>
        </is>
      </c>
      <c r="D294" s="100" t="inlineStr">
        <is>
          <t>Hematology</t>
        </is>
      </c>
      <c r="E294" s="100" t="inlineStr">
        <is>
          <t>BU Oncology</t>
        </is>
      </c>
      <c r="F294" s="99" t="inlineStr">
        <is>
          <t>Agency Fees</t>
        </is>
      </c>
      <c r="G294" s="99" t="inlineStr">
        <is>
          <t>May-2025</t>
        </is>
      </c>
      <c r="H294" s="99" t="inlineStr">
        <is>
          <t>Q2 2025</t>
        </is>
      </c>
      <c r="I294" s="101" t="n">
        <v>7713.06</v>
      </c>
      <c r="J294" s="101" t="n">
        <v>6774.84</v>
      </c>
      <c r="K294" s="101" t="n">
        <v>5944.92</v>
      </c>
      <c r="L294" s="165">
        <f>I294-J294</f>
        <v/>
      </c>
      <c r="M294" s="166">
        <f>IF(I294=0,0,ROUND((I294-J294)/I294,4))</f>
        <v/>
      </c>
      <c r="N294" s="104">
        <f>IF(I294=0,0,J294/I294)</f>
        <v/>
      </c>
      <c r="O294" s="105">
        <f>IF(L294&gt;=0,"Under","Over")</f>
        <v/>
      </c>
      <c r="P294" s="69">
        <f>IF(M294&lt;-0.05,"Watch","On Track")</f>
        <v/>
      </c>
    </row>
    <row r="295" ht="16" customHeight="1">
      <c r="A295" s="106" t="inlineStr">
        <is>
          <t>CC-00294</t>
        </is>
      </c>
      <c r="B295" s="71" t="inlineStr">
        <is>
          <t>EVT-2025-027</t>
        </is>
      </c>
      <c r="C295" s="70" t="inlineStr">
        <is>
          <t>Hemaflex Internal Meeting Warsaw May 2025</t>
        </is>
      </c>
      <c r="D295" s="70" t="inlineStr">
        <is>
          <t>Hematology</t>
        </is>
      </c>
      <c r="E295" s="70" t="inlineStr">
        <is>
          <t>BU Oncology</t>
        </is>
      </c>
      <c r="F295" s="71" t="inlineStr">
        <is>
          <t>Speaker Fees</t>
        </is>
      </c>
      <c r="G295" s="71" t="inlineStr">
        <is>
          <t>May-2025</t>
        </is>
      </c>
      <c r="H295" s="71" t="inlineStr">
        <is>
          <t>Q2 2025</t>
        </is>
      </c>
      <c r="I295" s="73" t="n">
        <v>5509.33</v>
      </c>
      <c r="J295" s="73" t="n">
        <v>5330.86</v>
      </c>
      <c r="K295" s="73" t="n">
        <v>4011.69</v>
      </c>
      <c r="L295" s="163">
        <f>I295-J295</f>
        <v/>
      </c>
      <c r="M295" s="161">
        <f>IF(I295=0,0,ROUND((I295-J295)/I295,4))</f>
        <v/>
      </c>
      <c r="N295" s="107">
        <f>IF(I295=0,0,J295/I295)</f>
        <v/>
      </c>
      <c r="O295" s="108">
        <f>IF(L295&gt;=0,"Under","Over")</f>
        <v/>
      </c>
      <c r="P295" s="69">
        <f>IF(M295&lt;-0.05,"Watch","On Track")</f>
        <v/>
      </c>
    </row>
    <row r="296" ht="16" customHeight="1">
      <c r="A296" s="98" t="inlineStr">
        <is>
          <t>CC-00295</t>
        </is>
      </c>
      <c r="B296" s="99" t="inlineStr">
        <is>
          <t>EVT-2025-027</t>
        </is>
      </c>
      <c r="C296" s="100" t="inlineStr">
        <is>
          <t>Hemaflex Internal Meeting Warsaw May 2025</t>
        </is>
      </c>
      <c r="D296" s="100" t="inlineStr">
        <is>
          <t>Hematology</t>
        </is>
      </c>
      <c r="E296" s="100" t="inlineStr">
        <is>
          <t>BU Oncology</t>
        </is>
      </c>
      <c r="F296" s="99" t="inlineStr">
        <is>
          <t>Translation</t>
        </is>
      </c>
      <c r="G296" s="99" t="inlineStr">
        <is>
          <t>May-2025</t>
        </is>
      </c>
      <c r="H296" s="99" t="inlineStr">
        <is>
          <t>Q2 2025</t>
        </is>
      </c>
      <c r="I296" s="101" t="n">
        <v>1652.8</v>
      </c>
      <c r="J296" s="101" t="n">
        <v>1552.6</v>
      </c>
      <c r="K296" s="101" t="n">
        <v>1345.72</v>
      </c>
      <c r="L296" s="165">
        <f>I296-J296</f>
        <v/>
      </c>
      <c r="M296" s="166">
        <f>IF(I296=0,0,ROUND((I296-J296)/I296,4))</f>
        <v/>
      </c>
      <c r="N296" s="104">
        <f>IF(I296=0,0,J296/I296)</f>
        <v/>
      </c>
      <c r="O296" s="105">
        <f>IF(L296&gt;=0,"Under","Over")</f>
        <v/>
      </c>
      <c r="P296" s="69">
        <f>IF(M296&lt;-0.05,"Watch","On Track")</f>
        <v/>
      </c>
    </row>
    <row r="297" ht="16" customHeight="1">
      <c r="A297" s="106" t="inlineStr">
        <is>
          <t>CC-00296</t>
        </is>
      </c>
      <c r="B297" s="71" t="inlineStr">
        <is>
          <t>EVT-2025-027</t>
        </is>
      </c>
      <c r="C297" s="70" t="inlineStr">
        <is>
          <t>Hemaflex Internal Meeting Warsaw May 2025</t>
        </is>
      </c>
      <c r="D297" s="70" t="inlineStr">
        <is>
          <t>Hematology</t>
        </is>
      </c>
      <c r="E297" s="70" t="inlineStr">
        <is>
          <t>BU Oncology</t>
        </is>
      </c>
      <c r="F297" s="71" t="inlineStr">
        <is>
          <t>Print &amp; Production</t>
        </is>
      </c>
      <c r="G297" s="71" t="inlineStr">
        <is>
          <t>May-2025</t>
        </is>
      </c>
      <c r="H297" s="71" t="inlineStr">
        <is>
          <t>Q2 2025</t>
        </is>
      </c>
      <c r="I297" s="73" t="n">
        <v>1101.87</v>
      </c>
      <c r="J297" s="73" t="n">
        <v>686.95</v>
      </c>
      <c r="K297" s="73" t="n">
        <v>551.84</v>
      </c>
      <c r="L297" s="163">
        <f>I297-J297</f>
        <v/>
      </c>
      <c r="M297" s="161">
        <f>IF(I297=0,0,ROUND((I297-J297)/I297,4))</f>
        <v/>
      </c>
      <c r="N297" s="107">
        <f>IF(I297=0,0,J297/I297)</f>
        <v/>
      </c>
      <c r="O297" s="108">
        <f>IF(L297&gt;=0,"Under","Over")</f>
        <v/>
      </c>
      <c r="P297" s="69">
        <f>IF(M297&lt;-0.05,"Watch","On Track")</f>
        <v/>
      </c>
    </row>
    <row r="298" ht="16" customHeight="1">
      <c r="A298" s="98" t="inlineStr">
        <is>
          <t>CC-00297</t>
        </is>
      </c>
      <c r="B298" s="99" t="inlineStr">
        <is>
          <t>EVT-2025-027</t>
        </is>
      </c>
      <c r="C298" s="100" t="inlineStr">
        <is>
          <t>Hemaflex Internal Meeting Warsaw May 2025</t>
        </is>
      </c>
      <c r="D298" s="100" t="inlineStr">
        <is>
          <t>Hematology</t>
        </is>
      </c>
      <c r="E298" s="100" t="inlineStr">
        <is>
          <t>BU Oncology</t>
        </is>
      </c>
      <c r="F298" s="99" t="inlineStr">
        <is>
          <t>Miscellaneous</t>
        </is>
      </c>
      <c r="G298" s="99" t="inlineStr">
        <is>
          <t>May-2025</t>
        </is>
      </c>
      <c r="H298" s="99" t="inlineStr">
        <is>
          <t>Q2 2025</t>
        </is>
      </c>
      <c r="I298" s="101" t="n">
        <v>1101.87</v>
      </c>
      <c r="J298" s="101" t="n">
        <v>1015.55</v>
      </c>
      <c r="K298" s="101" t="n">
        <v>827.01</v>
      </c>
      <c r="L298" s="165">
        <f>I298-J298</f>
        <v/>
      </c>
      <c r="M298" s="166">
        <f>IF(I298=0,0,ROUND((I298-J298)/I298,4))</f>
        <v/>
      </c>
      <c r="N298" s="104">
        <f>IF(I298=0,0,J298/I298)</f>
        <v/>
      </c>
      <c r="O298" s="105">
        <f>IF(L298&gt;=0,"Under","Over")</f>
        <v/>
      </c>
      <c r="P298" s="69">
        <f>IF(M298&lt;-0.05,"Watch","On Track")</f>
        <v/>
      </c>
    </row>
    <row r="299" ht="16" customHeight="1">
      <c r="A299" s="106" t="inlineStr">
        <is>
          <t>CC-00298</t>
        </is>
      </c>
      <c r="B299" s="71" t="inlineStr">
        <is>
          <t>EVT-2025-028</t>
        </is>
      </c>
      <c r="C299" s="70" t="inlineStr">
        <is>
          <t>Nexolimab KOL Meeting Milan Jul 2025</t>
        </is>
      </c>
      <c r="D299" s="70" t="inlineStr">
        <is>
          <t>Oncology</t>
        </is>
      </c>
      <c r="E299" s="70" t="inlineStr">
        <is>
          <t>BU Oncology</t>
        </is>
      </c>
      <c r="F299" s="71" t="inlineStr">
        <is>
          <t>Airfare</t>
        </is>
      </c>
      <c r="G299" s="71" t="inlineStr">
        <is>
          <t>Jul-2025</t>
        </is>
      </c>
      <c r="H299" s="71" t="inlineStr">
        <is>
          <t>Q3 2025</t>
        </is>
      </c>
      <c r="I299" s="73" t="n">
        <v>45563.26</v>
      </c>
      <c r="J299" s="73" t="n">
        <v>39286.08</v>
      </c>
      <c r="K299" s="73" t="n">
        <v>35706.82</v>
      </c>
      <c r="L299" s="163">
        <f>I299-J299</f>
        <v/>
      </c>
      <c r="M299" s="161">
        <f>IF(I299=0,0,ROUND((I299-J299)/I299,4))</f>
        <v/>
      </c>
      <c r="N299" s="107">
        <f>IF(I299=0,0,J299/I299)</f>
        <v/>
      </c>
      <c r="O299" s="108">
        <f>IF(L299&gt;=0,"Under","Over")</f>
        <v/>
      </c>
      <c r="P299" s="69">
        <f>IF(M299&lt;-0.05,"Watch","On Track")</f>
        <v/>
      </c>
    </row>
    <row r="300" ht="16" customHeight="1">
      <c r="A300" s="98" t="inlineStr">
        <is>
          <t>CC-00299</t>
        </is>
      </c>
      <c r="B300" s="99" t="inlineStr">
        <is>
          <t>EVT-2025-028</t>
        </is>
      </c>
      <c r="C300" s="100" t="inlineStr">
        <is>
          <t>Nexolimab KOL Meeting Milan Jul 2025</t>
        </is>
      </c>
      <c r="D300" s="100" t="inlineStr">
        <is>
          <t>Oncology</t>
        </is>
      </c>
      <c r="E300" s="100" t="inlineStr">
        <is>
          <t>BU Oncology</t>
        </is>
      </c>
      <c r="F300" s="99" t="inlineStr">
        <is>
          <t>Hotel</t>
        </is>
      </c>
      <c r="G300" s="99" t="inlineStr">
        <is>
          <t>Jul-2025</t>
        </is>
      </c>
      <c r="H300" s="99" t="inlineStr">
        <is>
          <t>Q3 2025</t>
        </is>
      </c>
      <c r="I300" s="101" t="n">
        <v>82013.86</v>
      </c>
      <c r="J300" s="101" t="n">
        <v>65949.77</v>
      </c>
      <c r="K300" s="101" t="n">
        <v>52098.11</v>
      </c>
      <c r="L300" s="165">
        <f>I300-J300</f>
        <v/>
      </c>
      <c r="M300" s="166">
        <f>IF(I300=0,0,ROUND((I300-J300)/I300,4))</f>
        <v/>
      </c>
      <c r="N300" s="104">
        <f>IF(I300=0,0,J300/I300)</f>
        <v/>
      </c>
      <c r="O300" s="105">
        <f>IF(L300&gt;=0,"Under","Over")</f>
        <v/>
      </c>
      <c r="P300" s="69">
        <f>IF(M300&lt;-0.05,"Watch","On Track")</f>
        <v/>
      </c>
    </row>
    <row r="301" ht="16" customHeight="1">
      <c r="A301" s="106" t="inlineStr">
        <is>
          <t>CC-00300</t>
        </is>
      </c>
      <c r="B301" s="71" t="inlineStr">
        <is>
          <t>EVT-2025-028</t>
        </is>
      </c>
      <c r="C301" s="70" t="inlineStr">
        <is>
          <t>Nexolimab KOL Meeting Milan Jul 2025</t>
        </is>
      </c>
      <c r="D301" s="70" t="inlineStr">
        <is>
          <t>Oncology</t>
        </is>
      </c>
      <c r="E301" s="70" t="inlineStr">
        <is>
          <t>BU Oncology</t>
        </is>
      </c>
      <c r="F301" s="71" t="inlineStr">
        <is>
          <t>Venue</t>
        </is>
      </c>
      <c r="G301" s="71" t="inlineStr">
        <is>
          <t>Jul-2025</t>
        </is>
      </c>
      <c r="H301" s="71" t="inlineStr">
        <is>
          <t>Q3 2025</t>
        </is>
      </c>
      <c r="I301" s="73" t="n">
        <v>68344.88</v>
      </c>
      <c r="J301" s="73" t="n">
        <v>47290.52</v>
      </c>
      <c r="K301" s="73" t="n">
        <v>40735.04</v>
      </c>
      <c r="L301" s="163">
        <f>I301-J301</f>
        <v/>
      </c>
      <c r="M301" s="161">
        <f>IF(I301=0,0,ROUND((I301-J301)/I301,4))</f>
        <v/>
      </c>
      <c r="N301" s="107">
        <f>IF(I301=0,0,J301/I301)</f>
        <v/>
      </c>
      <c r="O301" s="108">
        <f>IF(L301&gt;=0,"Under","Over")</f>
        <v/>
      </c>
      <c r="P301" s="69">
        <f>IF(M301&lt;-0.05,"Watch","On Track")</f>
        <v/>
      </c>
    </row>
    <row r="302" ht="16" customHeight="1">
      <c r="A302" s="98" t="inlineStr">
        <is>
          <t>CC-00301</t>
        </is>
      </c>
      <c r="B302" s="99" t="inlineStr">
        <is>
          <t>EVT-2025-028</t>
        </is>
      </c>
      <c r="C302" s="100" t="inlineStr">
        <is>
          <t>Nexolimab KOL Meeting Milan Jul 2025</t>
        </is>
      </c>
      <c r="D302" s="100" t="inlineStr">
        <is>
          <t>Oncology</t>
        </is>
      </c>
      <c r="E302" s="100" t="inlineStr">
        <is>
          <t>BU Oncology</t>
        </is>
      </c>
      <c r="F302" s="99" t="inlineStr">
        <is>
          <t>F&amp;B</t>
        </is>
      </c>
      <c r="G302" s="99" t="inlineStr">
        <is>
          <t>Jul-2025</t>
        </is>
      </c>
      <c r="H302" s="99" t="inlineStr">
        <is>
          <t>Q3 2025</t>
        </is>
      </c>
      <c r="I302" s="101" t="n">
        <v>54675.91</v>
      </c>
      <c r="J302" s="101" t="n">
        <v>39393.12</v>
      </c>
      <c r="K302" s="101" t="n">
        <v>30238.29</v>
      </c>
      <c r="L302" s="165">
        <f>I302-J302</f>
        <v/>
      </c>
      <c r="M302" s="166">
        <f>IF(I302=0,0,ROUND((I302-J302)/I302,4))</f>
        <v/>
      </c>
      <c r="N302" s="104">
        <f>IF(I302=0,0,J302/I302)</f>
        <v/>
      </c>
      <c r="O302" s="105">
        <f>IF(L302&gt;=0,"Under","Over")</f>
        <v/>
      </c>
      <c r="P302" s="69">
        <f>IF(M302&lt;-0.05,"Watch","On Track")</f>
        <v/>
      </c>
    </row>
    <row r="303" ht="16" customHeight="1">
      <c r="A303" s="106" t="inlineStr">
        <is>
          <t>CC-00302</t>
        </is>
      </c>
      <c r="B303" s="71" t="inlineStr">
        <is>
          <t>EVT-2025-028</t>
        </is>
      </c>
      <c r="C303" s="70" t="inlineStr">
        <is>
          <t>Nexolimab KOL Meeting Milan Jul 2025</t>
        </is>
      </c>
      <c r="D303" s="70" t="inlineStr">
        <is>
          <t>Oncology</t>
        </is>
      </c>
      <c r="E303" s="70" t="inlineStr">
        <is>
          <t>BU Oncology</t>
        </is>
      </c>
      <c r="F303" s="71" t="inlineStr">
        <is>
          <t>Logistics</t>
        </is>
      </c>
      <c r="G303" s="71" t="inlineStr">
        <is>
          <t>Jul-2025</t>
        </is>
      </c>
      <c r="H303" s="71" t="inlineStr">
        <is>
          <t>Q3 2025</t>
        </is>
      </c>
      <c r="I303" s="73" t="n">
        <v>27337.95</v>
      </c>
      <c r="J303" s="73" t="n">
        <v>28124.48</v>
      </c>
      <c r="K303" s="73" t="n">
        <v>20905.08</v>
      </c>
      <c r="L303" s="158">
        <f>I303-J303</f>
        <v/>
      </c>
      <c r="M303" s="161">
        <f>IF(I303=0,0,ROUND((I303-J303)/I303,4))</f>
        <v/>
      </c>
      <c r="N303" s="107">
        <f>IF(I303=0,0,J303/I303)</f>
        <v/>
      </c>
      <c r="O303" s="112">
        <f>IF(L303&gt;=0,"Under","Over")</f>
        <v/>
      </c>
      <c r="P303" s="69">
        <f>IF(M303&lt;-0.05,"Watch","On Track")</f>
        <v/>
      </c>
    </row>
    <row r="304" ht="16" customHeight="1">
      <c r="A304" s="98" t="inlineStr">
        <is>
          <t>CC-00303</t>
        </is>
      </c>
      <c r="B304" s="99" t="inlineStr">
        <is>
          <t>EVT-2025-028</t>
        </is>
      </c>
      <c r="C304" s="100" t="inlineStr">
        <is>
          <t>Nexolimab KOL Meeting Milan Jul 2025</t>
        </is>
      </c>
      <c r="D304" s="100" t="inlineStr">
        <is>
          <t>Oncology</t>
        </is>
      </c>
      <c r="E304" s="100" t="inlineStr">
        <is>
          <t>BU Oncology</t>
        </is>
      </c>
      <c r="F304" s="99" t="inlineStr">
        <is>
          <t>AV &amp; Technology</t>
        </is>
      </c>
      <c r="G304" s="99" t="inlineStr">
        <is>
          <t>Jul-2025</t>
        </is>
      </c>
      <c r="H304" s="99" t="inlineStr">
        <is>
          <t>Q3 2025</t>
        </is>
      </c>
      <c r="I304" s="101" t="n">
        <v>36450.6</v>
      </c>
      <c r="J304" s="101" t="n">
        <v>30309.13</v>
      </c>
      <c r="K304" s="101" t="n">
        <v>21740.35</v>
      </c>
      <c r="L304" s="165">
        <f>I304-J304</f>
        <v/>
      </c>
      <c r="M304" s="166">
        <f>IF(I304=0,0,ROUND((I304-J304)/I304,4))</f>
        <v/>
      </c>
      <c r="N304" s="104">
        <f>IF(I304=0,0,J304/I304)</f>
        <v/>
      </c>
      <c r="O304" s="105">
        <f>IF(L304&gt;=0,"Under","Over")</f>
        <v/>
      </c>
      <c r="P304" s="69">
        <f>IF(M304&lt;-0.05,"Watch","On Track")</f>
        <v/>
      </c>
    </row>
    <row r="305" ht="16" customHeight="1">
      <c r="A305" s="106" t="inlineStr">
        <is>
          <t>CC-00304</t>
        </is>
      </c>
      <c r="B305" s="71" t="inlineStr">
        <is>
          <t>EVT-2025-028</t>
        </is>
      </c>
      <c r="C305" s="70" t="inlineStr">
        <is>
          <t>Nexolimab KOL Meeting Milan Jul 2025</t>
        </is>
      </c>
      <c r="D305" s="70" t="inlineStr">
        <is>
          <t>Oncology</t>
        </is>
      </c>
      <c r="E305" s="70" t="inlineStr">
        <is>
          <t>BU Oncology</t>
        </is>
      </c>
      <c r="F305" s="71" t="inlineStr">
        <is>
          <t>Agency Fees</t>
        </is>
      </c>
      <c r="G305" s="71" t="inlineStr">
        <is>
          <t>Jul-2025</t>
        </is>
      </c>
      <c r="H305" s="71" t="inlineStr">
        <is>
          <t>Q3 2025</t>
        </is>
      </c>
      <c r="I305" s="73" t="n">
        <v>63788.56</v>
      </c>
      <c r="J305" s="73" t="n">
        <v>51435.19</v>
      </c>
      <c r="K305" s="73" t="n">
        <v>42431.58</v>
      </c>
      <c r="L305" s="163">
        <f>I305-J305</f>
        <v/>
      </c>
      <c r="M305" s="161">
        <f>IF(I305=0,0,ROUND((I305-J305)/I305,4))</f>
        <v/>
      </c>
      <c r="N305" s="107">
        <f>IF(I305=0,0,J305/I305)</f>
        <v/>
      </c>
      <c r="O305" s="108">
        <f>IF(L305&gt;=0,"Under","Over")</f>
        <v/>
      </c>
      <c r="P305" s="69">
        <f>IF(M305&lt;-0.05,"Watch","On Track")</f>
        <v/>
      </c>
    </row>
    <row r="306" ht="16" customHeight="1">
      <c r="A306" s="98" t="inlineStr">
        <is>
          <t>CC-00305</t>
        </is>
      </c>
      <c r="B306" s="99" t="inlineStr">
        <is>
          <t>EVT-2025-028</t>
        </is>
      </c>
      <c r="C306" s="100" t="inlineStr">
        <is>
          <t>Nexolimab KOL Meeting Milan Jul 2025</t>
        </is>
      </c>
      <c r="D306" s="100" t="inlineStr">
        <is>
          <t>Oncology</t>
        </is>
      </c>
      <c r="E306" s="100" t="inlineStr">
        <is>
          <t>BU Oncology</t>
        </is>
      </c>
      <c r="F306" s="99" t="inlineStr">
        <is>
          <t>Speaker Fees</t>
        </is>
      </c>
      <c r="G306" s="99" t="inlineStr">
        <is>
          <t>Jul-2025</t>
        </is>
      </c>
      <c r="H306" s="99" t="inlineStr">
        <is>
          <t>Q3 2025</t>
        </is>
      </c>
      <c r="I306" s="101" t="n">
        <v>45563.26</v>
      </c>
      <c r="J306" s="101" t="n">
        <v>39412.03</v>
      </c>
      <c r="K306" s="101" t="n">
        <v>32180.94</v>
      </c>
      <c r="L306" s="165">
        <f>I306-J306</f>
        <v/>
      </c>
      <c r="M306" s="166">
        <f>IF(I306=0,0,ROUND((I306-J306)/I306,4))</f>
        <v/>
      </c>
      <c r="N306" s="104">
        <f>IF(I306=0,0,J306/I306)</f>
        <v/>
      </c>
      <c r="O306" s="105">
        <f>IF(L306&gt;=0,"Under","Over")</f>
        <v/>
      </c>
      <c r="P306" s="69">
        <f>IF(M306&lt;-0.05,"Watch","On Track")</f>
        <v/>
      </c>
    </row>
    <row r="307" ht="16" customHeight="1">
      <c r="A307" s="106" t="inlineStr">
        <is>
          <t>CC-00306</t>
        </is>
      </c>
      <c r="B307" s="71" t="inlineStr">
        <is>
          <t>EVT-2025-028</t>
        </is>
      </c>
      <c r="C307" s="70" t="inlineStr">
        <is>
          <t>Nexolimab KOL Meeting Milan Jul 2025</t>
        </is>
      </c>
      <c r="D307" s="70" t="inlineStr">
        <is>
          <t>Oncology</t>
        </is>
      </c>
      <c r="E307" s="70" t="inlineStr">
        <is>
          <t>BU Oncology</t>
        </is>
      </c>
      <c r="F307" s="71" t="inlineStr">
        <is>
          <t>Translation</t>
        </is>
      </c>
      <c r="G307" s="71" t="inlineStr">
        <is>
          <t>Jul-2025</t>
        </is>
      </c>
      <c r="H307" s="71" t="inlineStr">
        <is>
          <t>Q3 2025</t>
        </is>
      </c>
      <c r="I307" s="73" t="n">
        <v>13668.98</v>
      </c>
      <c r="J307" s="73" t="n">
        <v>9944.15</v>
      </c>
      <c r="K307" s="73" t="n">
        <v>7946.16</v>
      </c>
      <c r="L307" s="163">
        <f>I307-J307</f>
        <v/>
      </c>
      <c r="M307" s="161">
        <f>IF(I307=0,0,ROUND((I307-J307)/I307,4))</f>
        <v/>
      </c>
      <c r="N307" s="107">
        <f>IF(I307=0,0,J307/I307)</f>
        <v/>
      </c>
      <c r="O307" s="108">
        <f>IF(L307&gt;=0,"Under","Over")</f>
        <v/>
      </c>
      <c r="P307" s="69">
        <f>IF(M307&lt;-0.05,"Watch","On Track")</f>
        <v/>
      </c>
    </row>
    <row r="308" ht="16" customHeight="1">
      <c r="A308" s="98" t="inlineStr">
        <is>
          <t>CC-00307</t>
        </is>
      </c>
      <c r="B308" s="99" t="inlineStr">
        <is>
          <t>EVT-2025-028</t>
        </is>
      </c>
      <c r="C308" s="100" t="inlineStr">
        <is>
          <t>Nexolimab KOL Meeting Milan Jul 2025</t>
        </is>
      </c>
      <c r="D308" s="100" t="inlineStr">
        <is>
          <t>Oncology</t>
        </is>
      </c>
      <c r="E308" s="100" t="inlineStr">
        <is>
          <t>BU Oncology</t>
        </is>
      </c>
      <c r="F308" s="99" t="inlineStr">
        <is>
          <t>Print &amp; Production</t>
        </is>
      </c>
      <c r="G308" s="99" t="inlineStr">
        <is>
          <t>Jul-2025</t>
        </is>
      </c>
      <c r="H308" s="99" t="inlineStr">
        <is>
          <t>Q3 2025</t>
        </is>
      </c>
      <c r="I308" s="101" t="n">
        <v>9112.65</v>
      </c>
      <c r="J308" s="101" t="n">
        <v>5827.86</v>
      </c>
      <c r="K308" s="101" t="n">
        <v>4865.89</v>
      </c>
      <c r="L308" s="165">
        <f>I308-J308</f>
        <v/>
      </c>
      <c r="M308" s="166">
        <f>IF(I308=0,0,ROUND((I308-J308)/I308,4))</f>
        <v/>
      </c>
      <c r="N308" s="104">
        <f>IF(I308=0,0,J308/I308)</f>
        <v/>
      </c>
      <c r="O308" s="105">
        <f>IF(L308&gt;=0,"Under","Over")</f>
        <v/>
      </c>
      <c r="P308" s="69">
        <f>IF(M308&lt;-0.05,"Watch","On Track")</f>
        <v/>
      </c>
    </row>
    <row r="309" ht="16" customHeight="1">
      <c r="A309" s="106" t="inlineStr">
        <is>
          <t>CC-00308</t>
        </is>
      </c>
      <c r="B309" s="71" t="inlineStr">
        <is>
          <t>EVT-2025-028</t>
        </is>
      </c>
      <c r="C309" s="70" t="inlineStr">
        <is>
          <t>Nexolimab KOL Meeting Milan Jul 2025</t>
        </is>
      </c>
      <c r="D309" s="70" t="inlineStr">
        <is>
          <t>Oncology</t>
        </is>
      </c>
      <c r="E309" s="70" t="inlineStr">
        <is>
          <t>BU Oncology</t>
        </is>
      </c>
      <c r="F309" s="71" t="inlineStr">
        <is>
          <t>Miscellaneous</t>
        </is>
      </c>
      <c r="G309" s="71" t="inlineStr">
        <is>
          <t>Jul-2025</t>
        </is>
      </c>
      <c r="H309" s="71" t="inlineStr">
        <is>
          <t>Q3 2025</t>
        </is>
      </c>
      <c r="I309" s="73" t="n">
        <v>9112.65</v>
      </c>
      <c r="J309" s="73" t="n">
        <v>7158.34</v>
      </c>
      <c r="K309" s="73" t="n">
        <v>6161.12</v>
      </c>
      <c r="L309" s="163">
        <f>I309-J309</f>
        <v/>
      </c>
      <c r="M309" s="161">
        <f>IF(I309=0,0,ROUND((I309-J309)/I309,4))</f>
        <v/>
      </c>
      <c r="N309" s="107">
        <f>IF(I309=0,0,J309/I309)</f>
        <v/>
      </c>
      <c r="O309" s="108">
        <f>IF(L309&gt;=0,"Under","Over")</f>
        <v/>
      </c>
      <c r="P309" s="69">
        <f>IF(M309&lt;-0.05,"Watch","On Track")</f>
        <v/>
      </c>
    </row>
    <row r="310" ht="16" customHeight="1">
      <c r="A310" s="98" t="inlineStr">
        <is>
          <t>CC-00309</t>
        </is>
      </c>
      <c r="B310" s="99" t="inlineStr">
        <is>
          <t>EVT-2025-029</t>
        </is>
      </c>
      <c r="C310" s="100" t="inlineStr">
        <is>
          <t>Axotrin Congress Lisbon May 2025</t>
        </is>
      </c>
      <c r="D310" s="100" t="inlineStr">
        <is>
          <t>Neurology</t>
        </is>
      </c>
      <c r="E310" s="100" t="inlineStr">
        <is>
          <t>BU Neuroscience</t>
        </is>
      </c>
      <c r="F310" s="99" t="inlineStr">
        <is>
          <t>Airfare</t>
        </is>
      </c>
      <c r="G310" s="99" t="inlineStr">
        <is>
          <t>May-2025</t>
        </is>
      </c>
      <c r="H310" s="99" t="inlineStr">
        <is>
          <t>Q2 2025</t>
        </is>
      </c>
      <c r="I310" s="101" t="n">
        <v>54163.76</v>
      </c>
      <c r="J310" s="101" t="n">
        <v>54960.14</v>
      </c>
      <c r="K310" s="101" t="n">
        <v>39321.84</v>
      </c>
      <c r="L310" s="167">
        <f>I310-J310</f>
        <v/>
      </c>
      <c r="M310" s="166">
        <f>IF(I310=0,0,ROUND((I310-J310)/I310,4))</f>
        <v/>
      </c>
      <c r="N310" s="104">
        <f>IF(I310=0,0,J310/I310)</f>
        <v/>
      </c>
      <c r="O310" s="111">
        <f>IF(L310&gt;=0,"Under","Over")</f>
        <v/>
      </c>
      <c r="P310" s="69">
        <f>IF(M310&lt;-0.05,"Watch","On Track")</f>
        <v/>
      </c>
    </row>
    <row r="311" ht="16" customHeight="1">
      <c r="A311" s="106" t="inlineStr">
        <is>
          <t>CC-00310</t>
        </is>
      </c>
      <c r="B311" s="71" t="inlineStr">
        <is>
          <t>EVT-2025-029</t>
        </is>
      </c>
      <c r="C311" s="70" t="inlineStr">
        <is>
          <t>Axotrin Congress Lisbon May 2025</t>
        </is>
      </c>
      <c r="D311" s="70" t="inlineStr">
        <is>
          <t>Neurology</t>
        </is>
      </c>
      <c r="E311" s="70" t="inlineStr">
        <is>
          <t>BU Neuroscience</t>
        </is>
      </c>
      <c r="F311" s="71" t="inlineStr">
        <is>
          <t>Hotel</t>
        </is>
      </c>
      <c r="G311" s="71" t="inlineStr">
        <is>
          <t>May-2025</t>
        </is>
      </c>
      <c r="H311" s="71" t="inlineStr">
        <is>
          <t>Q2 2025</t>
        </is>
      </c>
      <c r="I311" s="73" t="n">
        <v>97494.77</v>
      </c>
      <c r="J311" s="73" t="n">
        <v>76882.81</v>
      </c>
      <c r="K311" s="73" t="n">
        <v>67771.49000000001</v>
      </c>
      <c r="L311" s="163">
        <f>I311-J311</f>
        <v/>
      </c>
      <c r="M311" s="161">
        <f>IF(I311=0,0,ROUND((I311-J311)/I311,4))</f>
        <v/>
      </c>
      <c r="N311" s="107">
        <f>IF(I311=0,0,J311/I311)</f>
        <v/>
      </c>
      <c r="O311" s="108">
        <f>IF(L311&gt;=0,"Under","Over")</f>
        <v/>
      </c>
      <c r="P311" s="69">
        <f>IF(M311&lt;-0.05,"Watch","On Track")</f>
        <v/>
      </c>
    </row>
    <row r="312" ht="16" customHeight="1">
      <c r="A312" s="98" t="inlineStr">
        <is>
          <t>CC-00311</t>
        </is>
      </c>
      <c r="B312" s="99" t="inlineStr">
        <is>
          <t>EVT-2025-029</t>
        </is>
      </c>
      <c r="C312" s="100" t="inlineStr">
        <is>
          <t>Axotrin Congress Lisbon May 2025</t>
        </is>
      </c>
      <c r="D312" s="100" t="inlineStr">
        <is>
          <t>Neurology</t>
        </is>
      </c>
      <c r="E312" s="100" t="inlineStr">
        <is>
          <t>BU Neuroscience</t>
        </is>
      </c>
      <c r="F312" s="99" t="inlineStr">
        <is>
          <t>Venue</t>
        </is>
      </c>
      <c r="G312" s="99" t="inlineStr">
        <is>
          <t>May-2025</t>
        </is>
      </c>
      <c r="H312" s="99" t="inlineStr">
        <is>
          <t>Q2 2025</t>
        </is>
      </c>
      <c r="I312" s="101" t="n">
        <v>81245.64</v>
      </c>
      <c r="J312" s="101" t="n">
        <v>50353.92</v>
      </c>
      <c r="K312" s="101" t="n">
        <v>36347.24</v>
      </c>
      <c r="L312" s="165">
        <f>I312-J312</f>
        <v/>
      </c>
      <c r="M312" s="166">
        <f>IF(I312=0,0,ROUND((I312-J312)/I312,4))</f>
        <v/>
      </c>
      <c r="N312" s="104">
        <f>IF(I312=0,0,J312/I312)</f>
        <v/>
      </c>
      <c r="O312" s="105">
        <f>IF(L312&gt;=0,"Under","Over")</f>
        <v/>
      </c>
      <c r="P312" s="69">
        <f>IF(M312&lt;-0.05,"Watch","On Track")</f>
        <v/>
      </c>
    </row>
    <row r="313" ht="16" customHeight="1">
      <c r="A313" s="106" t="inlineStr">
        <is>
          <t>CC-00312</t>
        </is>
      </c>
      <c r="B313" s="71" t="inlineStr">
        <is>
          <t>EVT-2025-029</t>
        </is>
      </c>
      <c r="C313" s="70" t="inlineStr">
        <is>
          <t>Axotrin Congress Lisbon May 2025</t>
        </is>
      </c>
      <c r="D313" s="70" t="inlineStr">
        <is>
          <t>Neurology</t>
        </is>
      </c>
      <c r="E313" s="70" t="inlineStr">
        <is>
          <t>BU Neuroscience</t>
        </is>
      </c>
      <c r="F313" s="71" t="inlineStr">
        <is>
          <t>F&amp;B</t>
        </is>
      </c>
      <c r="G313" s="71" t="inlineStr">
        <is>
          <t>May-2025</t>
        </is>
      </c>
      <c r="H313" s="71" t="inlineStr">
        <is>
          <t>Q2 2025</t>
        </is>
      </c>
      <c r="I313" s="73" t="n">
        <v>64996.51</v>
      </c>
      <c r="J313" s="73" t="n">
        <v>65147.65</v>
      </c>
      <c r="K313" s="73" t="n">
        <v>57087.26</v>
      </c>
      <c r="L313" s="158">
        <f>I313-J313</f>
        <v/>
      </c>
      <c r="M313" s="161">
        <f>IF(I313=0,0,ROUND((I313-J313)/I313,4))</f>
        <v/>
      </c>
      <c r="N313" s="107">
        <f>IF(I313=0,0,J313/I313)</f>
        <v/>
      </c>
      <c r="O313" s="112">
        <f>IF(L313&gt;=0,"Under","Over")</f>
        <v/>
      </c>
      <c r="P313" s="69">
        <f>IF(M313&lt;-0.05,"Watch","On Track")</f>
        <v/>
      </c>
    </row>
    <row r="314" ht="16" customHeight="1">
      <c r="A314" s="98" t="inlineStr">
        <is>
          <t>CC-00313</t>
        </is>
      </c>
      <c r="B314" s="99" t="inlineStr">
        <is>
          <t>EVT-2025-029</t>
        </is>
      </c>
      <c r="C314" s="100" t="inlineStr">
        <is>
          <t>Axotrin Congress Lisbon May 2025</t>
        </is>
      </c>
      <c r="D314" s="100" t="inlineStr">
        <is>
          <t>Neurology</t>
        </is>
      </c>
      <c r="E314" s="100" t="inlineStr">
        <is>
          <t>BU Neuroscience</t>
        </is>
      </c>
      <c r="F314" s="99" t="inlineStr">
        <is>
          <t>Logistics</t>
        </is>
      </c>
      <c r="G314" s="99" t="inlineStr">
        <is>
          <t>May-2025</t>
        </is>
      </c>
      <c r="H314" s="99" t="inlineStr">
        <is>
          <t>Q2 2025</t>
        </is>
      </c>
      <c r="I314" s="101" t="n">
        <v>32498.26</v>
      </c>
      <c r="J314" s="101" t="n">
        <v>30409.44</v>
      </c>
      <c r="K314" s="101" t="n">
        <v>23266.41</v>
      </c>
      <c r="L314" s="165">
        <f>I314-J314</f>
        <v/>
      </c>
      <c r="M314" s="166">
        <f>IF(I314=0,0,ROUND((I314-J314)/I314,4))</f>
        <v/>
      </c>
      <c r="N314" s="104">
        <f>IF(I314=0,0,J314/I314)</f>
        <v/>
      </c>
      <c r="O314" s="105">
        <f>IF(L314&gt;=0,"Under","Over")</f>
        <v/>
      </c>
      <c r="P314" s="69">
        <f>IF(M314&lt;-0.05,"Watch","On Track")</f>
        <v/>
      </c>
    </row>
    <row r="315" ht="16" customHeight="1">
      <c r="A315" s="106" t="inlineStr">
        <is>
          <t>CC-00314</t>
        </is>
      </c>
      <c r="B315" s="71" t="inlineStr">
        <is>
          <t>EVT-2025-029</t>
        </is>
      </c>
      <c r="C315" s="70" t="inlineStr">
        <is>
          <t>Axotrin Congress Lisbon May 2025</t>
        </is>
      </c>
      <c r="D315" s="70" t="inlineStr">
        <is>
          <t>Neurology</t>
        </is>
      </c>
      <c r="E315" s="70" t="inlineStr">
        <is>
          <t>BU Neuroscience</t>
        </is>
      </c>
      <c r="F315" s="71" t="inlineStr">
        <is>
          <t>AV &amp; Technology</t>
        </is>
      </c>
      <c r="G315" s="71" t="inlineStr">
        <is>
          <t>May-2025</t>
        </is>
      </c>
      <c r="H315" s="71" t="inlineStr">
        <is>
          <t>Q2 2025</t>
        </is>
      </c>
      <c r="I315" s="73" t="n">
        <v>43331.01</v>
      </c>
      <c r="J315" s="73" t="n">
        <v>30524.29</v>
      </c>
      <c r="K315" s="73" t="n">
        <v>29672.96</v>
      </c>
      <c r="L315" s="163">
        <f>I315-J315</f>
        <v/>
      </c>
      <c r="M315" s="161">
        <f>IF(I315=0,0,ROUND((I315-J315)/I315,4))</f>
        <v/>
      </c>
      <c r="N315" s="107">
        <f>IF(I315=0,0,J315/I315)</f>
        <v/>
      </c>
      <c r="O315" s="108">
        <f>IF(L315&gt;=0,"Under","Over")</f>
        <v/>
      </c>
      <c r="P315" s="69">
        <f>IF(M315&lt;-0.05,"Watch","On Track")</f>
        <v/>
      </c>
    </row>
    <row r="316" ht="16" customHeight="1">
      <c r="A316" s="98" t="inlineStr">
        <is>
          <t>CC-00315</t>
        </is>
      </c>
      <c r="B316" s="99" t="inlineStr">
        <is>
          <t>EVT-2025-029</t>
        </is>
      </c>
      <c r="C316" s="100" t="inlineStr">
        <is>
          <t>Axotrin Congress Lisbon May 2025</t>
        </is>
      </c>
      <c r="D316" s="100" t="inlineStr">
        <is>
          <t>Neurology</t>
        </is>
      </c>
      <c r="E316" s="100" t="inlineStr">
        <is>
          <t>BU Neuroscience</t>
        </is>
      </c>
      <c r="F316" s="99" t="inlineStr">
        <is>
          <t>Agency Fees</t>
        </is>
      </c>
      <c r="G316" s="99" t="inlineStr">
        <is>
          <t>May-2025</t>
        </is>
      </c>
      <c r="H316" s="99" t="inlineStr">
        <is>
          <t>Q2 2025</t>
        </is>
      </c>
      <c r="I316" s="101" t="n">
        <v>75829.25999999999</v>
      </c>
      <c r="J316" s="101" t="n">
        <v>56992.82</v>
      </c>
      <c r="K316" s="101" t="n">
        <v>55436.82</v>
      </c>
      <c r="L316" s="165">
        <f>I316-J316</f>
        <v/>
      </c>
      <c r="M316" s="166">
        <f>IF(I316=0,0,ROUND((I316-J316)/I316,4))</f>
        <v/>
      </c>
      <c r="N316" s="104">
        <f>IF(I316=0,0,J316/I316)</f>
        <v/>
      </c>
      <c r="O316" s="105">
        <f>IF(L316&gt;=0,"Under","Over")</f>
        <v/>
      </c>
      <c r="P316" s="69">
        <f>IF(M316&lt;-0.05,"Watch","On Track")</f>
        <v/>
      </c>
    </row>
    <row r="317" ht="16" customHeight="1">
      <c r="A317" s="106" t="inlineStr">
        <is>
          <t>CC-00316</t>
        </is>
      </c>
      <c r="B317" s="71" t="inlineStr">
        <is>
          <t>EVT-2025-029</t>
        </is>
      </c>
      <c r="C317" s="70" t="inlineStr">
        <is>
          <t>Axotrin Congress Lisbon May 2025</t>
        </is>
      </c>
      <c r="D317" s="70" t="inlineStr">
        <is>
          <t>Neurology</t>
        </is>
      </c>
      <c r="E317" s="70" t="inlineStr">
        <is>
          <t>BU Neuroscience</t>
        </is>
      </c>
      <c r="F317" s="71" t="inlineStr">
        <is>
          <t>Speaker Fees</t>
        </is>
      </c>
      <c r="G317" s="71" t="inlineStr">
        <is>
          <t>May-2025</t>
        </is>
      </c>
      <c r="H317" s="71" t="inlineStr">
        <is>
          <t>Q2 2025</t>
        </is>
      </c>
      <c r="I317" s="73" t="n">
        <v>54163.76</v>
      </c>
      <c r="J317" s="73" t="n">
        <v>38234.41</v>
      </c>
      <c r="K317" s="73" t="n">
        <v>28943.72</v>
      </c>
      <c r="L317" s="163">
        <f>I317-J317</f>
        <v/>
      </c>
      <c r="M317" s="161">
        <f>IF(I317=0,0,ROUND((I317-J317)/I317,4))</f>
        <v/>
      </c>
      <c r="N317" s="107">
        <f>IF(I317=0,0,J317/I317)</f>
        <v/>
      </c>
      <c r="O317" s="108">
        <f>IF(L317&gt;=0,"Under","Over")</f>
        <v/>
      </c>
      <c r="P317" s="69">
        <f>IF(M317&lt;-0.05,"Watch","On Track")</f>
        <v/>
      </c>
    </row>
    <row r="318" ht="16" customHeight="1">
      <c r="A318" s="98" t="inlineStr">
        <is>
          <t>CC-00317</t>
        </is>
      </c>
      <c r="B318" s="99" t="inlineStr">
        <is>
          <t>EVT-2025-029</t>
        </is>
      </c>
      <c r="C318" s="100" t="inlineStr">
        <is>
          <t>Axotrin Congress Lisbon May 2025</t>
        </is>
      </c>
      <c r="D318" s="100" t="inlineStr">
        <is>
          <t>Neurology</t>
        </is>
      </c>
      <c r="E318" s="100" t="inlineStr">
        <is>
          <t>BU Neuroscience</t>
        </is>
      </c>
      <c r="F318" s="99" t="inlineStr">
        <is>
          <t>Translation</t>
        </is>
      </c>
      <c r="G318" s="99" t="inlineStr">
        <is>
          <t>May-2025</t>
        </is>
      </c>
      <c r="H318" s="99" t="inlineStr">
        <is>
          <t>Q2 2025</t>
        </is>
      </c>
      <c r="I318" s="101" t="n">
        <v>16249.13</v>
      </c>
      <c r="J318" s="101" t="n">
        <v>15773.64</v>
      </c>
      <c r="K318" s="101" t="n">
        <v>14575.85</v>
      </c>
      <c r="L318" s="165">
        <f>I318-J318</f>
        <v/>
      </c>
      <c r="M318" s="166">
        <f>IF(I318=0,0,ROUND((I318-J318)/I318,4))</f>
        <v/>
      </c>
      <c r="N318" s="104">
        <f>IF(I318=0,0,J318/I318)</f>
        <v/>
      </c>
      <c r="O318" s="105">
        <f>IF(L318&gt;=0,"Under","Over")</f>
        <v/>
      </c>
      <c r="P318" s="69">
        <f>IF(M318&lt;-0.05,"Watch","On Track")</f>
        <v/>
      </c>
    </row>
    <row r="319" ht="16" customHeight="1">
      <c r="A319" s="106" t="inlineStr">
        <is>
          <t>CC-00318</t>
        </is>
      </c>
      <c r="B319" s="71" t="inlineStr">
        <is>
          <t>EVT-2025-029</t>
        </is>
      </c>
      <c r="C319" s="70" t="inlineStr">
        <is>
          <t>Axotrin Congress Lisbon May 2025</t>
        </is>
      </c>
      <c r="D319" s="70" t="inlineStr">
        <is>
          <t>Neurology</t>
        </is>
      </c>
      <c r="E319" s="70" t="inlineStr">
        <is>
          <t>BU Neuroscience</t>
        </is>
      </c>
      <c r="F319" s="71" t="inlineStr">
        <is>
          <t>Print &amp; Production</t>
        </is>
      </c>
      <c r="G319" s="71" t="inlineStr">
        <is>
          <t>May-2025</t>
        </is>
      </c>
      <c r="H319" s="71" t="inlineStr">
        <is>
          <t>Q2 2025</t>
        </is>
      </c>
      <c r="I319" s="73" t="n">
        <v>10832.75</v>
      </c>
      <c r="J319" s="73" t="n">
        <v>10585.39</v>
      </c>
      <c r="K319" s="73" t="n">
        <v>10313.69</v>
      </c>
      <c r="L319" s="163">
        <f>I319-J319</f>
        <v/>
      </c>
      <c r="M319" s="161">
        <f>IF(I319=0,0,ROUND((I319-J319)/I319,4))</f>
        <v/>
      </c>
      <c r="N319" s="107">
        <f>IF(I319=0,0,J319/I319)</f>
        <v/>
      </c>
      <c r="O319" s="108">
        <f>IF(L319&gt;=0,"Under","Over")</f>
        <v/>
      </c>
      <c r="P319" s="69">
        <f>IF(M319&lt;-0.05,"Watch","On Track")</f>
        <v/>
      </c>
    </row>
    <row r="320" ht="16" customHeight="1">
      <c r="A320" s="98" t="inlineStr">
        <is>
          <t>CC-00319</t>
        </is>
      </c>
      <c r="B320" s="99" t="inlineStr">
        <is>
          <t>EVT-2025-029</t>
        </is>
      </c>
      <c r="C320" s="100" t="inlineStr">
        <is>
          <t>Axotrin Congress Lisbon May 2025</t>
        </is>
      </c>
      <c r="D320" s="100" t="inlineStr">
        <is>
          <t>Neurology</t>
        </is>
      </c>
      <c r="E320" s="100" t="inlineStr">
        <is>
          <t>BU Neuroscience</t>
        </is>
      </c>
      <c r="F320" s="99" t="inlineStr">
        <is>
          <t>Miscellaneous</t>
        </is>
      </c>
      <c r="G320" s="99" t="inlineStr">
        <is>
          <t>May-2025</t>
        </is>
      </c>
      <c r="H320" s="99" t="inlineStr">
        <is>
          <t>Q2 2025</t>
        </is>
      </c>
      <c r="I320" s="101" t="n">
        <v>10832.75</v>
      </c>
      <c r="J320" s="101" t="n">
        <v>10267.42</v>
      </c>
      <c r="K320" s="101" t="n">
        <v>9354.959999999999</v>
      </c>
      <c r="L320" s="165">
        <f>I320-J320</f>
        <v/>
      </c>
      <c r="M320" s="166">
        <f>IF(I320=0,0,ROUND((I320-J320)/I320,4))</f>
        <v/>
      </c>
      <c r="N320" s="104">
        <f>IF(I320=0,0,J320/I320)</f>
        <v/>
      </c>
      <c r="O320" s="105">
        <f>IF(L320&gt;=0,"Under","Over")</f>
        <v/>
      </c>
      <c r="P320" s="69">
        <f>IF(M320&lt;-0.05,"Watch","On Track")</f>
        <v/>
      </c>
    </row>
    <row r="321" ht="16" customHeight="1">
      <c r="A321" s="106" t="inlineStr">
        <is>
          <t>CC-00320</t>
        </is>
      </c>
      <c r="B321" s="71" t="inlineStr">
        <is>
          <t>EVT-2025-030</t>
        </is>
      </c>
      <c r="C321" s="70" t="inlineStr">
        <is>
          <t>Gastroven KOL Meeting Copenhagen Apr 2025</t>
        </is>
      </c>
      <c r="D321" s="70" t="inlineStr">
        <is>
          <t>Gastroenterology</t>
        </is>
      </c>
      <c r="E321" s="70" t="inlineStr">
        <is>
          <t>BU Cardiovascular</t>
        </is>
      </c>
      <c r="F321" s="71" t="inlineStr">
        <is>
          <t>Airfare</t>
        </is>
      </c>
      <c r="G321" s="71" t="inlineStr">
        <is>
          <t>Apr-2025</t>
        </is>
      </c>
      <c r="H321" s="71" t="inlineStr">
        <is>
          <t>Q2 2025</t>
        </is>
      </c>
      <c r="I321" s="73" t="n">
        <v>4583.61</v>
      </c>
      <c r="J321" s="73" t="n">
        <v>3659.17</v>
      </c>
      <c r="K321" s="73" t="n">
        <v>2824.14</v>
      </c>
      <c r="L321" s="163">
        <f>I321-J321</f>
        <v/>
      </c>
      <c r="M321" s="161">
        <f>IF(I321=0,0,ROUND((I321-J321)/I321,4))</f>
        <v/>
      </c>
      <c r="N321" s="107">
        <f>IF(I321=0,0,J321/I321)</f>
        <v/>
      </c>
      <c r="O321" s="108">
        <f>IF(L321&gt;=0,"Under","Over")</f>
        <v/>
      </c>
      <c r="P321" s="69">
        <f>IF(M321&lt;-0.05,"Watch","On Track")</f>
        <v/>
      </c>
    </row>
    <row r="322" ht="16" customHeight="1">
      <c r="A322" s="98" t="inlineStr">
        <is>
          <t>CC-00321</t>
        </is>
      </c>
      <c r="B322" s="99" t="inlineStr">
        <is>
          <t>EVT-2025-030</t>
        </is>
      </c>
      <c r="C322" s="100" t="inlineStr">
        <is>
          <t>Gastroven KOL Meeting Copenhagen Apr 2025</t>
        </is>
      </c>
      <c r="D322" s="100" t="inlineStr">
        <is>
          <t>Gastroenterology</t>
        </is>
      </c>
      <c r="E322" s="100" t="inlineStr">
        <is>
          <t>BU Cardiovascular</t>
        </is>
      </c>
      <c r="F322" s="99" t="inlineStr">
        <is>
          <t>Hotel</t>
        </is>
      </c>
      <c r="G322" s="99" t="inlineStr">
        <is>
          <t>Apr-2025</t>
        </is>
      </c>
      <c r="H322" s="99" t="inlineStr">
        <is>
          <t>Q2 2025</t>
        </is>
      </c>
      <c r="I322" s="101" t="n">
        <v>8250.49</v>
      </c>
      <c r="J322" s="101" t="n">
        <v>6277.03</v>
      </c>
      <c r="K322" s="101" t="n">
        <v>4926.95</v>
      </c>
      <c r="L322" s="165">
        <f>I322-J322</f>
        <v/>
      </c>
      <c r="M322" s="166">
        <f>IF(I322=0,0,ROUND((I322-J322)/I322,4))</f>
        <v/>
      </c>
      <c r="N322" s="104">
        <f>IF(I322=0,0,J322/I322)</f>
        <v/>
      </c>
      <c r="O322" s="105">
        <f>IF(L322&gt;=0,"Under","Over")</f>
        <v/>
      </c>
      <c r="P322" s="69">
        <f>IF(M322&lt;-0.05,"Watch","On Track")</f>
        <v/>
      </c>
    </row>
    <row r="323" ht="16" customHeight="1">
      <c r="A323" s="106" t="inlineStr">
        <is>
          <t>CC-00322</t>
        </is>
      </c>
      <c r="B323" s="71" t="inlineStr">
        <is>
          <t>EVT-2025-030</t>
        </is>
      </c>
      <c r="C323" s="70" t="inlineStr">
        <is>
          <t>Gastroven KOL Meeting Copenhagen Apr 2025</t>
        </is>
      </c>
      <c r="D323" s="70" t="inlineStr">
        <is>
          <t>Gastroenterology</t>
        </is>
      </c>
      <c r="E323" s="70" t="inlineStr">
        <is>
          <t>BU Cardiovascular</t>
        </is>
      </c>
      <c r="F323" s="71" t="inlineStr">
        <is>
          <t>Venue</t>
        </is>
      </c>
      <c r="G323" s="71" t="inlineStr">
        <is>
          <t>Apr-2025</t>
        </is>
      </c>
      <c r="H323" s="71" t="inlineStr">
        <is>
          <t>Q2 2025</t>
        </is>
      </c>
      <c r="I323" s="73" t="n">
        <v>6875.41</v>
      </c>
      <c r="J323" s="73" t="n">
        <v>5728.08</v>
      </c>
      <c r="K323" s="73" t="n">
        <v>5124.43</v>
      </c>
      <c r="L323" s="163">
        <f>I323-J323</f>
        <v/>
      </c>
      <c r="M323" s="161">
        <f>IF(I323=0,0,ROUND((I323-J323)/I323,4))</f>
        <v/>
      </c>
      <c r="N323" s="107">
        <f>IF(I323=0,0,J323/I323)</f>
        <v/>
      </c>
      <c r="O323" s="108">
        <f>IF(L323&gt;=0,"Under","Over")</f>
        <v/>
      </c>
      <c r="P323" s="69">
        <f>IF(M323&lt;-0.05,"Watch","On Track")</f>
        <v/>
      </c>
    </row>
    <row r="324" ht="16" customHeight="1">
      <c r="A324" s="98" t="inlineStr">
        <is>
          <t>CC-00323</t>
        </is>
      </c>
      <c r="B324" s="99" t="inlineStr">
        <is>
          <t>EVT-2025-030</t>
        </is>
      </c>
      <c r="C324" s="100" t="inlineStr">
        <is>
          <t>Gastroven KOL Meeting Copenhagen Apr 2025</t>
        </is>
      </c>
      <c r="D324" s="100" t="inlineStr">
        <is>
          <t>Gastroenterology</t>
        </is>
      </c>
      <c r="E324" s="100" t="inlineStr">
        <is>
          <t>BU Cardiovascular</t>
        </is>
      </c>
      <c r="F324" s="99" t="inlineStr">
        <is>
          <t>F&amp;B</t>
        </is>
      </c>
      <c r="G324" s="99" t="inlineStr">
        <is>
          <t>Apr-2025</t>
        </is>
      </c>
      <c r="H324" s="99" t="inlineStr">
        <is>
          <t>Q2 2025</t>
        </is>
      </c>
      <c r="I324" s="101" t="n">
        <v>5500.33</v>
      </c>
      <c r="J324" s="101" t="n">
        <v>4148.41</v>
      </c>
      <c r="K324" s="101" t="n">
        <v>3351.47</v>
      </c>
      <c r="L324" s="165">
        <f>I324-J324</f>
        <v/>
      </c>
      <c r="M324" s="166">
        <f>IF(I324=0,0,ROUND((I324-J324)/I324,4))</f>
        <v/>
      </c>
      <c r="N324" s="104">
        <f>IF(I324=0,0,J324/I324)</f>
        <v/>
      </c>
      <c r="O324" s="105">
        <f>IF(L324&gt;=0,"Under","Over")</f>
        <v/>
      </c>
      <c r="P324" s="69">
        <f>IF(M324&lt;-0.05,"Watch","On Track")</f>
        <v/>
      </c>
    </row>
    <row r="325" ht="16" customHeight="1">
      <c r="A325" s="106" t="inlineStr">
        <is>
          <t>CC-00324</t>
        </is>
      </c>
      <c r="B325" s="71" t="inlineStr">
        <is>
          <t>EVT-2025-030</t>
        </is>
      </c>
      <c r="C325" s="70" t="inlineStr">
        <is>
          <t>Gastroven KOL Meeting Copenhagen Apr 2025</t>
        </is>
      </c>
      <c r="D325" s="70" t="inlineStr">
        <is>
          <t>Gastroenterology</t>
        </is>
      </c>
      <c r="E325" s="70" t="inlineStr">
        <is>
          <t>BU Cardiovascular</t>
        </is>
      </c>
      <c r="F325" s="71" t="inlineStr">
        <is>
          <t>Logistics</t>
        </is>
      </c>
      <c r="G325" s="71" t="inlineStr">
        <is>
          <t>Apr-2025</t>
        </is>
      </c>
      <c r="H325" s="71" t="inlineStr">
        <is>
          <t>Q2 2025</t>
        </is>
      </c>
      <c r="I325" s="73" t="n">
        <v>2750.16</v>
      </c>
      <c r="J325" s="73" t="n">
        <v>2864.03</v>
      </c>
      <c r="K325" s="73" t="n">
        <v>2405.22</v>
      </c>
      <c r="L325" s="158">
        <f>I325-J325</f>
        <v/>
      </c>
      <c r="M325" s="161">
        <f>IF(I325=0,0,ROUND((I325-J325)/I325,4))</f>
        <v/>
      </c>
      <c r="N325" s="107">
        <f>IF(I325=0,0,J325/I325)</f>
        <v/>
      </c>
      <c r="O325" s="112">
        <f>IF(L325&gt;=0,"Under","Over")</f>
        <v/>
      </c>
      <c r="P325" s="69">
        <f>IF(M325&lt;-0.05,"Watch","On Track")</f>
        <v/>
      </c>
    </row>
    <row r="326" ht="16" customHeight="1">
      <c r="A326" s="98" t="inlineStr">
        <is>
          <t>CC-00325</t>
        </is>
      </c>
      <c r="B326" s="99" t="inlineStr">
        <is>
          <t>EVT-2025-030</t>
        </is>
      </c>
      <c r="C326" s="100" t="inlineStr">
        <is>
          <t>Gastroven KOL Meeting Copenhagen Apr 2025</t>
        </is>
      </c>
      <c r="D326" s="100" t="inlineStr">
        <is>
          <t>Gastroenterology</t>
        </is>
      </c>
      <c r="E326" s="100" t="inlineStr">
        <is>
          <t>BU Cardiovascular</t>
        </is>
      </c>
      <c r="F326" s="99" t="inlineStr">
        <is>
          <t>AV &amp; Technology</t>
        </is>
      </c>
      <c r="G326" s="99" t="inlineStr">
        <is>
          <t>Apr-2025</t>
        </is>
      </c>
      <c r="H326" s="99" t="inlineStr">
        <is>
          <t>Q2 2025</t>
        </is>
      </c>
      <c r="I326" s="101" t="n">
        <v>3666.88</v>
      </c>
      <c r="J326" s="101" t="n">
        <v>3672.04</v>
      </c>
      <c r="K326" s="101" t="n">
        <v>3366.25</v>
      </c>
      <c r="L326" s="167">
        <f>I326-J326</f>
        <v/>
      </c>
      <c r="M326" s="166">
        <f>IF(I326=0,0,ROUND((I326-J326)/I326,4))</f>
        <v/>
      </c>
      <c r="N326" s="104">
        <f>IF(I326=0,0,J326/I326)</f>
        <v/>
      </c>
      <c r="O326" s="111">
        <f>IF(L326&gt;=0,"Under","Over")</f>
        <v/>
      </c>
      <c r="P326" s="69">
        <f>IF(M326&lt;-0.05,"Watch","On Track")</f>
        <v/>
      </c>
    </row>
    <row r="327" ht="16" customHeight="1">
      <c r="A327" s="106" t="inlineStr">
        <is>
          <t>CC-00326</t>
        </is>
      </c>
      <c r="B327" s="71" t="inlineStr">
        <is>
          <t>EVT-2025-030</t>
        </is>
      </c>
      <c r="C327" s="70" t="inlineStr">
        <is>
          <t>Gastroven KOL Meeting Copenhagen Apr 2025</t>
        </is>
      </c>
      <c r="D327" s="70" t="inlineStr">
        <is>
          <t>Gastroenterology</t>
        </is>
      </c>
      <c r="E327" s="70" t="inlineStr">
        <is>
          <t>BU Cardiovascular</t>
        </is>
      </c>
      <c r="F327" s="71" t="inlineStr">
        <is>
          <t>Agency Fees</t>
        </is>
      </c>
      <c r="G327" s="71" t="inlineStr">
        <is>
          <t>Apr-2025</t>
        </is>
      </c>
      <c r="H327" s="71" t="inlineStr">
        <is>
          <t>Q2 2025</t>
        </is>
      </c>
      <c r="I327" s="73" t="n">
        <v>6417.05</v>
      </c>
      <c r="J327" s="73" t="n">
        <v>6293.94</v>
      </c>
      <c r="K327" s="73" t="n">
        <v>5010.42</v>
      </c>
      <c r="L327" s="163">
        <f>I327-J327</f>
        <v/>
      </c>
      <c r="M327" s="161">
        <f>IF(I327=0,0,ROUND((I327-J327)/I327,4))</f>
        <v/>
      </c>
      <c r="N327" s="107">
        <f>IF(I327=0,0,J327/I327)</f>
        <v/>
      </c>
      <c r="O327" s="108">
        <f>IF(L327&gt;=0,"Under","Over")</f>
        <v/>
      </c>
      <c r="P327" s="69">
        <f>IF(M327&lt;-0.05,"Watch","On Track")</f>
        <v/>
      </c>
    </row>
    <row r="328" ht="16" customHeight="1">
      <c r="A328" s="98" t="inlineStr">
        <is>
          <t>CC-00327</t>
        </is>
      </c>
      <c r="B328" s="99" t="inlineStr">
        <is>
          <t>EVT-2025-030</t>
        </is>
      </c>
      <c r="C328" s="100" t="inlineStr">
        <is>
          <t>Gastroven KOL Meeting Copenhagen Apr 2025</t>
        </is>
      </c>
      <c r="D328" s="100" t="inlineStr">
        <is>
          <t>Gastroenterology</t>
        </is>
      </c>
      <c r="E328" s="100" t="inlineStr">
        <is>
          <t>BU Cardiovascular</t>
        </is>
      </c>
      <c r="F328" s="99" t="inlineStr">
        <is>
          <t>Speaker Fees</t>
        </is>
      </c>
      <c r="G328" s="99" t="inlineStr">
        <is>
          <t>Apr-2025</t>
        </is>
      </c>
      <c r="H328" s="99" t="inlineStr">
        <is>
          <t>Q2 2025</t>
        </is>
      </c>
      <c r="I328" s="101" t="n">
        <v>4583.61</v>
      </c>
      <c r="J328" s="101" t="n">
        <v>3215.69</v>
      </c>
      <c r="K328" s="101" t="n">
        <v>2552.86</v>
      </c>
      <c r="L328" s="165">
        <f>I328-J328</f>
        <v/>
      </c>
      <c r="M328" s="166">
        <f>IF(I328=0,0,ROUND((I328-J328)/I328,4))</f>
        <v/>
      </c>
      <c r="N328" s="104">
        <f>IF(I328=0,0,J328/I328)</f>
        <v/>
      </c>
      <c r="O328" s="105">
        <f>IF(L328&gt;=0,"Under","Over")</f>
        <v/>
      </c>
      <c r="P328" s="69">
        <f>IF(M328&lt;-0.05,"Watch","On Track")</f>
        <v/>
      </c>
    </row>
    <row r="329" ht="16" customHeight="1">
      <c r="A329" s="106" t="inlineStr">
        <is>
          <t>CC-00328</t>
        </is>
      </c>
      <c r="B329" s="71" t="inlineStr">
        <is>
          <t>EVT-2025-030</t>
        </is>
      </c>
      <c r="C329" s="70" t="inlineStr">
        <is>
          <t>Gastroven KOL Meeting Copenhagen Apr 2025</t>
        </is>
      </c>
      <c r="D329" s="70" t="inlineStr">
        <is>
          <t>Gastroenterology</t>
        </is>
      </c>
      <c r="E329" s="70" t="inlineStr">
        <is>
          <t>BU Cardiovascular</t>
        </is>
      </c>
      <c r="F329" s="71" t="inlineStr">
        <is>
          <t>Translation</t>
        </is>
      </c>
      <c r="G329" s="71" t="inlineStr">
        <is>
          <t>Apr-2025</t>
        </is>
      </c>
      <c r="H329" s="71" t="inlineStr">
        <is>
          <t>Q2 2025</t>
        </is>
      </c>
      <c r="I329" s="73" t="n">
        <v>1375.08</v>
      </c>
      <c r="J329" s="73" t="n">
        <v>856.48</v>
      </c>
      <c r="K329" s="73" t="n">
        <v>821.5599999999999</v>
      </c>
      <c r="L329" s="163">
        <f>I329-J329</f>
        <v/>
      </c>
      <c r="M329" s="161">
        <f>IF(I329=0,0,ROUND((I329-J329)/I329,4))</f>
        <v/>
      </c>
      <c r="N329" s="107">
        <f>IF(I329=0,0,J329/I329)</f>
        <v/>
      </c>
      <c r="O329" s="108">
        <f>IF(L329&gt;=0,"Under","Over")</f>
        <v/>
      </c>
      <c r="P329" s="69">
        <f>IF(M329&lt;-0.05,"Watch","On Track")</f>
        <v/>
      </c>
    </row>
    <row r="330" ht="16" customHeight="1">
      <c r="A330" s="98" t="inlineStr">
        <is>
          <t>CC-00329</t>
        </is>
      </c>
      <c r="B330" s="99" t="inlineStr">
        <is>
          <t>EVT-2025-030</t>
        </is>
      </c>
      <c r="C330" s="100" t="inlineStr">
        <is>
          <t>Gastroven KOL Meeting Copenhagen Apr 2025</t>
        </is>
      </c>
      <c r="D330" s="100" t="inlineStr">
        <is>
          <t>Gastroenterology</t>
        </is>
      </c>
      <c r="E330" s="100" t="inlineStr">
        <is>
          <t>BU Cardiovascular</t>
        </is>
      </c>
      <c r="F330" s="99" t="inlineStr">
        <is>
          <t>Print &amp; Production</t>
        </is>
      </c>
      <c r="G330" s="99" t="inlineStr">
        <is>
          <t>Apr-2025</t>
        </is>
      </c>
      <c r="H330" s="99" t="inlineStr">
        <is>
          <t>Q2 2025</t>
        </is>
      </c>
      <c r="I330" s="101" t="n">
        <v>916.72</v>
      </c>
      <c r="J330" s="101" t="n">
        <v>889.79</v>
      </c>
      <c r="K330" s="101" t="n">
        <v>627.1799999999999</v>
      </c>
      <c r="L330" s="165">
        <f>I330-J330</f>
        <v/>
      </c>
      <c r="M330" s="166">
        <f>IF(I330=0,0,ROUND((I330-J330)/I330,4))</f>
        <v/>
      </c>
      <c r="N330" s="104">
        <f>IF(I330=0,0,J330/I330)</f>
        <v/>
      </c>
      <c r="O330" s="105">
        <f>IF(L330&gt;=0,"Under","Over")</f>
        <v/>
      </c>
      <c r="P330" s="69">
        <f>IF(M330&lt;-0.05,"Watch","On Track")</f>
        <v/>
      </c>
    </row>
    <row r="331" ht="16" customHeight="1">
      <c r="A331" s="106" t="inlineStr">
        <is>
          <t>CC-00330</t>
        </is>
      </c>
      <c r="B331" s="71" t="inlineStr">
        <is>
          <t>EVT-2025-030</t>
        </is>
      </c>
      <c r="C331" s="70" t="inlineStr">
        <is>
          <t>Gastroven KOL Meeting Copenhagen Apr 2025</t>
        </is>
      </c>
      <c r="D331" s="70" t="inlineStr">
        <is>
          <t>Gastroenterology</t>
        </is>
      </c>
      <c r="E331" s="70" t="inlineStr">
        <is>
          <t>BU Cardiovascular</t>
        </is>
      </c>
      <c r="F331" s="71" t="inlineStr">
        <is>
          <t>Miscellaneous</t>
        </is>
      </c>
      <c r="G331" s="71" t="inlineStr">
        <is>
          <t>Apr-2025</t>
        </is>
      </c>
      <c r="H331" s="71" t="inlineStr">
        <is>
          <t>Q2 2025</t>
        </is>
      </c>
      <c r="I331" s="73" t="n">
        <v>916.72</v>
      </c>
      <c r="J331" s="73" t="n">
        <v>803.65</v>
      </c>
      <c r="K331" s="73" t="n">
        <v>703.36</v>
      </c>
      <c r="L331" s="163">
        <f>I331-J331</f>
        <v/>
      </c>
      <c r="M331" s="161">
        <f>IF(I331=0,0,ROUND((I331-J331)/I331,4))</f>
        <v/>
      </c>
      <c r="N331" s="107">
        <f>IF(I331=0,0,J331/I331)</f>
        <v/>
      </c>
      <c r="O331" s="108">
        <f>IF(L331&gt;=0,"Under","Over")</f>
        <v/>
      </c>
      <c r="P331" s="69">
        <f>IF(M331&lt;-0.05,"Watch","On Track")</f>
        <v/>
      </c>
    </row>
    <row r="332" ht="16" customHeight="1">
      <c r="A332" s="98" t="inlineStr">
        <is>
          <t>CC-00331</t>
        </is>
      </c>
      <c r="B332" s="99" t="inlineStr">
        <is>
          <t>EVT-2025-031</t>
        </is>
      </c>
      <c r="C332" s="100" t="inlineStr">
        <is>
          <t>Antivex Congress Dublin Sep 2025</t>
        </is>
      </c>
      <c r="D332" s="100" t="inlineStr">
        <is>
          <t>Infectious Diseases</t>
        </is>
      </c>
      <c r="E332" s="100" t="inlineStr">
        <is>
          <t>BU Infectious Diseases</t>
        </is>
      </c>
      <c r="F332" s="99" t="inlineStr">
        <is>
          <t>Airfare</t>
        </is>
      </c>
      <c r="G332" s="99" t="inlineStr">
        <is>
          <t>Sep-2025</t>
        </is>
      </c>
      <c r="H332" s="99" t="inlineStr">
        <is>
          <t>Q3 2025</t>
        </is>
      </c>
      <c r="I332" s="101" t="n">
        <v>9494.959999999999</v>
      </c>
      <c r="J332" s="101" t="n">
        <v>9115.219999999999</v>
      </c>
      <c r="K332" s="101" t="n">
        <v>7187.88</v>
      </c>
      <c r="L332" s="165">
        <f>I332-J332</f>
        <v/>
      </c>
      <c r="M332" s="166">
        <f>IF(I332=0,0,ROUND((I332-J332)/I332,4))</f>
        <v/>
      </c>
      <c r="N332" s="104">
        <f>IF(I332=0,0,J332/I332)</f>
        <v/>
      </c>
      <c r="O332" s="105">
        <f>IF(L332&gt;=0,"Under","Over")</f>
        <v/>
      </c>
      <c r="P332" s="69">
        <f>IF(M332&lt;-0.05,"Watch","On Track")</f>
        <v/>
      </c>
    </row>
    <row r="333" ht="16" customHeight="1">
      <c r="A333" s="106" t="inlineStr">
        <is>
          <t>CC-00332</t>
        </is>
      </c>
      <c r="B333" s="71" t="inlineStr">
        <is>
          <t>EVT-2025-031</t>
        </is>
      </c>
      <c r="C333" s="70" t="inlineStr">
        <is>
          <t>Antivex Congress Dublin Sep 2025</t>
        </is>
      </c>
      <c r="D333" s="70" t="inlineStr">
        <is>
          <t>Infectious Diseases</t>
        </is>
      </c>
      <c r="E333" s="70" t="inlineStr">
        <is>
          <t>BU Infectious Diseases</t>
        </is>
      </c>
      <c r="F333" s="71" t="inlineStr">
        <is>
          <t>Hotel</t>
        </is>
      </c>
      <c r="G333" s="71" t="inlineStr">
        <is>
          <t>Sep-2025</t>
        </is>
      </c>
      <c r="H333" s="71" t="inlineStr">
        <is>
          <t>Q3 2025</t>
        </is>
      </c>
      <c r="I333" s="73" t="n">
        <v>17090.93</v>
      </c>
      <c r="J333" s="73" t="n">
        <v>11931.11</v>
      </c>
      <c r="K333" s="73" t="n">
        <v>9175.09</v>
      </c>
      <c r="L333" s="163">
        <f>I333-J333</f>
        <v/>
      </c>
      <c r="M333" s="161">
        <f>IF(I333=0,0,ROUND((I333-J333)/I333,4))</f>
        <v/>
      </c>
      <c r="N333" s="107">
        <f>IF(I333=0,0,J333/I333)</f>
        <v/>
      </c>
      <c r="O333" s="108">
        <f>IF(L333&gt;=0,"Under","Over")</f>
        <v/>
      </c>
      <c r="P333" s="69">
        <f>IF(M333&lt;-0.05,"Watch","On Track")</f>
        <v/>
      </c>
    </row>
    <row r="334" ht="16" customHeight="1">
      <c r="A334" s="98" t="inlineStr">
        <is>
          <t>CC-00333</t>
        </is>
      </c>
      <c r="B334" s="99" t="inlineStr">
        <is>
          <t>EVT-2025-031</t>
        </is>
      </c>
      <c r="C334" s="100" t="inlineStr">
        <is>
          <t>Antivex Congress Dublin Sep 2025</t>
        </is>
      </c>
      <c r="D334" s="100" t="inlineStr">
        <is>
          <t>Infectious Diseases</t>
        </is>
      </c>
      <c r="E334" s="100" t="inlineStr">
        <is>
          <t>BU Infectious Diseases</t>
        </is>
      </c>
      <c r="F334" s="99" t="inlineStr">
        <is>
          <t>Venue</t>
        </is>
      </c>
      <c r="G334" s="99" t="inlineStr">
        <is>
          <t>Sep-2025</t>
        </is>
      </c>
      <c r="H334" s="99" t="inlineStr">
        <is>
          <t>Q3 2025</t>
        </is>
      </c>
      <c r="I334" s="101" t="n">
        <v>14242.44</v>
      </c>
      <c r="J334" s="101" t="n">
        <v>12603.06</v>
      </c>
      <c r="K334" s="101" t="n">
        <v>9751.23</v>
      </c>
      <c r="L334" s="165">
        <f>I334-J334</f>
        <v/>
      </c>
      <c r="M334" s="166">
        <f>IF(I334=0,0,ROUND((I334-J334)/I334,4))</f>
        <v/>
      </c>
      <c r="N334" s="104">
        <f>IF(I334=0,0,J334/I334)</f>
        <v/>
      </c>
      <c r="O334" s="105">
        <f>IF(L334&gt;=0,"Under","Over")</f>
        <v/>
      </c>
      <c r="P334" s="69">
        <f>IF(M334&lt;-0.05,"Watch","On Track")</f>
        <v/>
      </c>
    </row>
    <row r="335" ht="16" customHeight="1">
      <c r="A335" s="106" t="inlineStr">
        <is>
          <t>CC-00334</t>
        </is>
      </c>
      <c r="B335" s="71" t="inlineStr">
        <is>
          <t>EVT-2025-031</t>
        </is>
      </c>
      <c r="C335" s="70" t="inlineStr">
        <is>
          <t>Antivex Congress Dublin Sep 2025</t>
        </is>
      </c>
      <c r="D335" s="70" t="inlineStr">
        <is>
          <t>Infectious Diseases</t>
        </is>
      </c>
      <c r="E335" s="70" t="inlineStr">
        <is>
          <t>BU Infectious Diseases</t>
        </is>
      </c>
      <c r="F335" s="71" t="inlineStr">
        <is>
          <t>F&amp;B</t>
        </is>
      </c>
      <c r="G335" s="71" t="inlineStr">
        <is>
          <t>Sep-2025</t>
        </is>
      </c>
      <c r="H335" s="71" t="inlineStr">
        <is>
          <t>Q3 2025</t>
        </is>
      </c>
      <c r="I335" s="73" t="n">
        <v>11393.95</v>
      </c>
      <c r="J335" s="73" t="n">
        <v>9973.370000000001</v>
      </c>
      <c r="K335" s="73" t="n">
        <v>9804.219999999999</v>
      </c>
      <c r="L335" s="163">
        <f>I335-J335</f>
        <v/>
      </c>
      <c r="M335" s="161">
        <f>IF(I335=0,0,ROUND((I335-J335)/I335,4))</f>
        <v/>
      </c>
      <c r="N335" s="107">
        <f>IF(I335=0,0,J335/I335)</f>
        <v/>
      </c>
      <c r="O335" s="108">
        <f>IF(L335&gt;=0,"Under","Over")</f>
        <v/>
      </c>
      <c r="P335" s="69">
        <f>IF(M335&lt;-0.05,"Watch","On Track")</f>
        <v/>
      </c>
    </row>
    <row r="336" ht="16" customHeight="1">
      <c r="A336" s="98" t="inlineStr">
        <is>
          <t>CC-00335</t>
        </is>
      </c>
      <c r="B336" s="99" t="inlineStr">
        <is>
          <t>EVT-2025-031</t>
        </is>
      </c>
      <c r="C336" s="100" t="inlineStr">
        <is>
          <t>Antivex Congress Dublin Sep 2025</t>
        </is>
      </c>
      <c r="D336" s="100" t="inlineStr">
        <is>
          <t>Infectious Diseases</t>
        </is>
      </c>
      <c r="E336" s="100" t="inlineStr">
        <is>
          <t>BU Infectious Diseases</t>
        </is>
      </c>
      <c r="F336" s="99" t="inlineStr">
        <is>
          <t>Logistics</t>
        </is>
      </c>
      <c r="G336" s="99" t="inlineStr">
        <is>
          <t>Sep-2025</t>
        </is>
      </c>
      <c r="H336" s="99" t="inlineStr">
        <is>
          <t>Q3 2025</t>
        </is>
      </c>
      <c r="I336" s="101" t="n">
        <v>5696.98</v>
      </c>
      <c r="J336" s="101" t="n">
        <v>4379.74</v>
      </c>
      <c r="K336" s="101" t="n">
        <v>4068.81</v>
      </c>
      <c r="L336" s="165">
        <f>I336-J336</f>
        <v/>
      </c>
      <c r="M336" s="166">
        <f>IF(I336=0,0,ROUND((I336-J336)/I336,4))</f>
        <v/>
      </c>
      <c r="N336" s="104">
        <f>IF(I336=0,0,J336/I336)</f>
        <v/>
      </c>
      <c r="O336" s="105">
        <f>IF(L336&gt;=0,"Under","Over")</f>
        <v/>
      </c>
      <c r="P336" s="69">
        <f>IF(M336&lt;-0.05,"Watch","On Track")</f>
        <v/>
      </c>
    </row>
    <row r="337" ht="16" customHeight="1">
      <c r="A337" s="106" t="inlineStr">
        <is>
          <t>CC-00336</t>
        </is>
      </c>
      <c r="B337" s="71" t="inlineStr">
        <is>
          <t>EVT-2025-031</t>
        </is>
      </c>
      <c r="C337" s="70" t="inlineStr">
        <is>
          <t>Antivex Congress Dublin Sep 2025</t>
        </is>
      </c>
      <c r="D337" s="70" t="inlineStr">
        <is>
          <t>Infectious Diseases</t>
        </is>
      </c>
      <c r="E337" s="70" t="inlineStr">
        <is>
          <t>BU Infectious Diseases</t>
        </is>
      </c>
      <c r="F337" s="71" t="inlineStr">
        <is>
          <t>AV &amp; Technology</t>
        </is>
      </c>
      <c r="G337" s="71" t="inlineStr">
        <is>
          <t>Sep-2025</t>
        </is>
      </c>
      <c r="H337" s="71" t="inlineStr">
        <is>
          <t>Q3 2025</t>
        </is>
      </c>
      <c r="I337" s="73" t="n">
        <v>7595.97</v>
      </c>
      <c r="J337" s="73" t="n">
        <v>6413.36</v>
      </c>
      <c r="K337" s="73" t="n">
        <v>5881.48</v>
      </c>
      <c r="L337" s="163">
        <f>I337-J337</f>
        <v/>
      </c>
      <c r="M337" s="161">
        <f>IF(I337=0,0,ROUND((I337-J337)/I337,4))</f>
        <v/>
      </c>
      <c r="N337" s="107">
        <f>IF(I337=0,0,J337/I337)</f>
        <v/>
      </c>
      <c r="O337" s="108">
        <f>IF(L337&gt;=0,"Under","Over")</f>
        <v/>
      </c>
      <c r="P337" s="69">
        <f>IF(M337&lt;-0.05,"Watch","On Track")</f>
        <v/>
      </c>
    </row>
    <row r="338" ht="16" customHeight="1">
      <c r="A338" s="98" t="inlineStr">
        <is>
          <t>CC-00337</t>
        </is>
      </c>
      <c r="B338" s="99" t="inlineStr">
        <is>
          <t>EVT-2025-031</t>
        </is>
      </c>
      <c r="C338" s="100" t="inlineStr">
        <is>
          <t>Antivex Congress Dublin Sep 2025</t>
        </is>
      </c>
      <c r="D338" s="100" t="inlineStr">
        <is>
          <t>Infectious Diseases</t>
        </is>
      </c>
      <c r="E338" s="100" t="inlineStr">
        <is>
          <t>BU Infectious Diseases</t>
        </is>
      </c>
      <c r="F338" s="99" t="inlineStr">
        <is>
          <t>Agency Fees</t>
        </is>
      </c>
      <c r="G338" s="99" t="inlineStr">
        <is>
          <t>Sep-2025</t>
        </is>
      </c>
      <c r="H338" s="99" t="inlineStr">
        <is>
          <t>Q3 2025</t>
        </is>
      </c>
      <c r="I338" s="101" t="n">
        <v>13292.95</v>
      </c>
      <c r="J338" s="101" t="n">
        <v>12891.46</v>
      </c>
      <c r="K338" s="101" t="n">
        <v>10806.25</v>
      </c>
      <c r="L338" s="165">
        <f>I338-J338</f>
        <v/>
      </c>
      <c r="M338" s="166">
        <f>IF(I338=0,0,ROUND((I338-J338)/I338,4))</f>
        <v/>
      </c>
      <c r="N338" s="104">
        <f>IF(I338=0,0,J338/I338)</f>
        <v/>
      </c>
      <c r="O338" s="105">
        <f>IF(L338&gt;=0,"Under","Over")</f>
        <v/>
      </c>
      <c r="P338" s="69">
        <f>IF(M338&lt;-0.05,"Watch","On Track")</f>
        <v/>
      </c>
    </row>
    <row r="339" ht="16" customHeight="1">
      <c r="A339" s="106" t="inlineStr">
        <is>
          <t>CC-00338</t>
        </is>
      </c>
      <c r="B339" s="71" t="inlineStr">
        <is>
          <t>EVT-2025-031</t>
        </is>
      </c>
      <c r="C339" s="70" t="inlineStr">
        <is>
          <t>Antivex Congress Dublin Sep 2025</t>
        </is>
      </c>
      <c r="D339" s="70" t="inlineStr">
        <is>
          <t>Infectious Diseases</t>
        </is>
      </c>
      <c r="E339" s="70" t="inlineStr">
        <is>
          <t>BU Infectious Diseases</t>
        </is>
      </c>
      <c r="F339" s="71" t="inlineStr">
        <is>
          <t>Speaker Fees</t>
        </is>
      </c>
      <c r="G339" s="71" t="inlineStr">
        <is>
          <t>Sep-2025</t>
        </is>
      </c>
      <c r="H339" s="71" t="inlineStr">
        <is>
          <t>Q3 2025</t>
        </is>
      </c>
      <c r="I339" s="73" t="n">
        <v>9494.959999999999</v>
      </c>
      <c r="J339" s="73" t="n">
        <v>9175.799999999999</v>
      </c>
      <c r="K339" s="73" t="n">
        <v>7392.51</v>
      </c>
      <c r="L339" s="163">
        <f>I339-J339</f>
        <v/>
      </c>
      <c r="M339" s="161">
        <f>IF(I339=0,0,ROUND((I339-J339)/I339,4))</f>
        <v/>
      </c>
      <c r="N339" s="107">
        <f>IF(I339=0,0,J339/I339)</f>
        <v/>
      </c>
      <c r="O339" s="108">
        <f>IF(L339&gt;=0,"Under","Over")</f>
        <v/>
      </c>
      <c r="P339" s="69">
        <f>IF(M339&lt;-0.05,"Watch","On Track")</f>
        <v/>
      </c>
    </row>
    <row r="340" ht="16" customHeight="1">
      <c r="A340" s="98" t="inlineStr">
        <is>
          <t>CC-00339</t>
        </is>
      </c>
      <c r="B340" s="99" t="inlineStr">
        <is>
          <t>EVT-2025-031</t>
        </is>
      </c>
      <c r="C340" s="100" t="inlineStr">
        <is>
          <t>Antivex Congress Dublin Sep 2025</t>
        </is>
      </c>
      <c r="D340" s="100" t="inlineStr">
        <is>
          <t>Infectious Diseases</t>
        </is>
      </c>
      <c r="E340" s="100" t="inlineStr">
        <is>
          <t>BU Infectious Diseases</t>
        </is>
      </c>
      <c r="F340" s="99" t="inlineStr">
        <is>
          <t>Translation</t>
        </is>
      </c>
      <c r="G340" s="99" t="inlineStr">
        <is>
          <t>Sep-2025</t>
        </is>
      </c>
      <c r="H340" s="99" t="inlineStr">
        <is>
          <t>Q3 2025</t>
        </is>
      </c>
      <c r="I340" s="101" t="n">
        <v>2848.49</v>
      </c>
      <c r="J340" s="101" t="n">
        <v>1908.43</v>
      </c>
      <c r="K340" s="101" t="n">
        <v>1648.81</v>
      </c>
      <c r="L340" s="165">
        <f>I340-J340</f>
        <v/>
      </c>
      <c r="M340" s="166">
        <f>IF(I340=0,0,ROUND((I340-J340)/I340,4))</f>
        <v/>
      </c>
      <c r="N340" s="104">
        <f>IF(I340=0,0,J340/I340)</f>
        <v/>
      </c>
      <c r="O340" s="105">
        <f>IF(L340&gt;=0,"Under","Over")</f>
        <v/>
      </c>
      <c r="P340" s="69">
        <f>IF(M340&lt;-0.05,"Watch","On Track")</f>
        <v/>
      </c>
    </row>
    <row r="341" ht="16" customHeight="1">
      <c r="A341" s="106" t="inlineStr">
        <is>
          <t>CC-00340</t>
        </is>
      </c>
      <c r="B341" s="71" t="inlineStr">
        <is>
          <t>EVT-2025-031</t>
        </is>
      </c>
      <c r="C341" s="70" t="inlineStr">
        <is>
          <t>Antivex Congress Dublin Sep 2025</t>
        </is>
      </c>
      <c r="D341" s="70" t="inlineStr">
        <is>
          <t>Infectious Diseases</t>
        </is>
      </c>
      <c r="E341" s="70" t="inlineStr">
        <is>
          <t>BU Infectious Diseases</t>
        </is>
      </c>
      <c r="F341" s="71" t="inlineStr">
        <is>
          <t>Print &amp; Production</t>
        </is>
      </c>
      <c r="G341" s="71" t="inlineStr">
        <is>
          <t>Sep-2025</t>
        </is>
      </c>
      <c r="H341" s="71" t="inlineStr">
        <is>
          <t>Q3 2025</t>
        </is>
      </c>
      <c r="I341" s="73" t="n">
        <v>1898.99</v>
      </c>
      <c r="J341" s="73" t="n">
        <v>1314.15</v>
      </c>
      <c r="K341" s="73" t="n">
        <v>1270.53</v>
      </c>
      <c r="L341" s="163">
        <f>I341-J341</f>
        <v/>
      </c>
      <c r="M341" s="161">
        <f>IF(I341=0,0,ROUND((I341-J341)/I341,4))</f>
        <v/>
      </c>
      <c r="N341" s="107">
        <f>IF(I341=0,0,J341/I341)</f>
        <v/>
      </c>
      <c r="O341" s="108">
        <f>IF(L341&gt;=0,"Under","Over")</f>
        <v/>
      </c>
      <c r="P341" s="69">
        <f>IF(M341&lt;-0.05,"Watch","On Track")</f>
        <v/>
      </c>
    </row>
    <row r="342" ht="16" customHeight="1">
      <c r="A342" s="98" t="inlineStr">
        <is>
          <t>CC-00341</t>
        </is>
      </c>
      <c r="B342" s="99" t="inlineStr">
        <is>
          <t>EVT-2025-031</t>
        </is>
      </c>
      <c r="C342" s="100" t="inlineStr">
        <is>
          <t>Antivex Congress Dublin Sep 2025</t>
        </is>
      </c>
      <c r="D342" s="100" t="inlineStr">
        <is>
          <t>Infectious Diseases</t>
        </is>
      </c>
      <c r="E342" s="100" t="inlineStr">
        <is>
          <t>BU Infectious Diseases</t>
        </is>
      </c>
      <c r="F342" s="99" t="inlineStr">
        <is>
          <t>Miscellaneous</t>
        </is>
      </c>
      <c r="G342" s="99" t="inlineStr">
        <is>
          <t>Sep-2025</t>
        </is>
      </c>
      <c r="H342" s="99" t="inlineStr">
        <is>
          <t>Q3 2025</t>
        </is>
      </c>
      <c r="I342" s="101" t="n">
        <v>1898.99</v>
      </c>
      <c r="J342" s="101" t="n">
        <v>2079.7</v>
      </c>
      <c r="K342" s="101" t="n">
        <v>2053.02</v>
      </c>
      <c r="L342" s="167">
        <f>I342-J342</f>
        <v/>
      </c>
      <c r="M342" s="168">
        <f>IF(I342=0,0,ROUND((I342-J342)/I342,4))</f>
        <v/>
      </c>
      <c r="N342" s="104">
        <f>IF(I342=0,0,J342/I342)</f>
        <v/>
      </c>
      <c r="O342" s="111">
        <f>IF(L342&gt;=0,"Under","Over")</f>
        <v/>
      </c>
      <c r="P342" s="76">
        <f>IF(M342&lt;-0.05,"Watch","On Track")</f>
        <v/>
      </c>
    </row>
    <row r="343" ht="16" customHeight="1">
      <c r="A343" s="106" t="inlineStr">
        <is>
          <t>CC-00342</t>
        </is>
      </c>
      <c r="B343" s="71" t="inlineStr">
        <is>
          <t>EVT-2025-032</t>
        </is>
      </c>
      <c r="C343" s="70" t="inlineStr">
        <is>
          <t>Cordavex Advisory Board Helsinki Feb 2025</t>
        </is>
      </c>
      <c r="D343" s="70" t="inlineStr">
        <is>
          <t>Cardiology</t>
        </is>
      </c>
      <c r="E343" s="70" t="inlineStr">
        <is>
          <t>BU Cardiovascular</t>
        </is>
      </c>
      <c r="F343" s="71" t="inlineStr">
        <is>
          <t>Airfare</t>
        </is>
      </c>
      <c r="G343" s="71" t="inlineStr">
        <is>
          <t>Feb-2025</t>
        </is>
      </c>
      <c r="H343" s="71" t="inlineStr">
        <is>
          <t>Q1 2025</t>
        </is>
      </c>
      <c r="I343" s="73" t="n">
        <v>14220.32</v>
      </c>
      <c r="J343" s="73" t="n">
        <v>12257.52</v>
      </c>
      <c r="K343" s="73" t="n">
        <v>11665.73</v>
      </c>
      <c r="L343" s="163">
        <f>I343-J343</f>
        <v/>
      </c>
      <c r="M343" s="161">
        <f>IF(I343=0,0,ROUND((I343-J343)/I343,4))</f>
        <v/>
      </c>
      <c r="N343" s="107">
        <f>IF(I343=0,0,J343/I343)</f>
        <v/>
      </c>
      <c r="O343" s="108">
        <f>IF(L343&gt;=0,"Under","Over")</f>
        <v/>
      </c>
      <c r="P343" s="69">
        <f>IF(M343&lt;-0.05,"Watch","On Track")</f>
        <v/>
      </c>
    </row>
    <row r="344" ht="16" customHeight="1">
      <c r="A344" s="98" t="inlineStr">
        <is>
          <t>CC-00343</t>
        </is>
      </c>
      <c r="B344" s="99" t="inlineStr">
        <is>
          <t>EVT-2025-032</t>
        </is>
      </c>
      <c r="C344" s="100" t="inlineStr">
        <is>
          <t>Cordavex Advisory Board Helsinki Feb 2025</t>
        </is>
      </c>
      <c r="D344" s="100" t="inlineStr">
        <is>
          <t>Cardiology</t>
        </is>
      </c>
      <c r="E344" s="100" t="inlineStr">
        <is>
          <t>BU Cardiovascular</t>
        </is>
      </c>
      <c r="F344" s="99" t="inlineStr">
        <is>
          <t>Hotel</t>
        </is>
      </c>
      <c r="G344" s="99" t="inlineStr">
        <is>
          <t>Feb-2025</t>
        </is>
      </c>
      <c r="H344" s="99" t="inlineStr">
        <is>
          <t>Q1 2025</t>
        </is>
      </c>
      <c r="I344" s="101" t="n">
        <v>25596.57</v>
      </c>
      <c r="J344" s="101" t="n">
        <v>16309.24</v>
      </c>
      <c r="K344" s="101" t="n">
        <v>15418.74</v>
      </c>
      <c r="L344" s="165">
        <f>I344-J344</f>
        <v/>
      </c>
      <c r="M344" s="166">
        <f>IF(I344=0,0,ROUND((I344-J344)/I344,4))</f>
        <v/>
      </c>
      <c r="N344" s="104">
        <f>IF(I344=0,0,J344/I344)</f>
        <v/>
      </c>
      <c r="O344" s="105">
        <f>IF(L344&gt;=0,"Under","Over")</f>
        <v/>
      </c>
      <c r="P344" s="69">
        <f>IF(M344&lt;-0.05,"Watch","On Track")</f>
        <v/>
      </c>
    </row>
    <row r="345" ht="16" customHeight="1">
      <c r="A345" s="106" t="inlineStr">
        <is>
          <t>CC-00344</t>
        </is>
      </c>
      <c r="B345" s="71" t="inlineStr">
        <is>
          <t>EVT-2025-032</t>
        </is>
      </c>
      <c r="C345" s="70" t="inlineStr">
        <is>
          <t>Cordavex Advisory Board Helsinki Feb 2025</t>
        </is>
      </c>
      <c r="D345" s="70" t="inlineStr">
        <is>
          <t>Cardiology</t>
        </is>
      </c>
      <c r="E345" s="70" t="inlineStr">
        <is>
          <t>BU Cardiovascular</t>
        </is>
      </c>
      <c r="F345" s="71" t="inlineStr">
        <is>
          <t>Venue</t>
        </is>
      </c>
      <c r="G345" s="71" t="inlineStr">
        <is>
          <t>Feb-2025</t>
        </is>
      </c>
      <c r="H345" s="71" t="inlineStr">
        <is>
          <t>Q1 2025</t>
        </is>
      </c>
      <c r="I345" s="73" t="n">
        <v>21330.47</v>
      </c>
      <c r="J345" s="73" t="n">
        <v>13315.7</v>
      </c>
      <c r="K345" s="73" t="n">
        <v>9346.49</v>
      </c>
      <c r="L345" s="163">
        <f>I345-J345</f>
        <v/>
      </c>
      <c r="M345" s="161">
        <f>IF(I345=0,0,ROUND((I345-J345)/I345,4))</f>
        <v/>
      </c>
      <c r="N345" s="107">
        <f>IF(I345=0,0,J345/I345)</f>
        <v/>
      </c>
      <c r="O345" s="108">
        <f>IF(L345&gt;=0,"Under","Over")</f>
        <v/>
      </c>
      <c r="P345" s="69">
        <f>IF(M345&lt;-0.05,"Watch","On Track")</f>
        <v/>
      </c>
    </row>
    <row r="346" ht="16" customHeight="1">
      <c r="A346" s="98" t="inlineStr">
        <is>
          <t>CC-00345</t>
        </is>
      </c>
      <c r="B346" s="99" t="inlineStr">
        <is>
          <t>EVT-2025-032</t>
        </is>
      </c>
      <c r="C346" s="100" t="inlineStr">
        <is>
          <t>Cordavex Advisory Board Helsinki Feb 2025</t>
        </is>
      </c>
      <c r="D346" s="100" t="inlineStr">
        <is>
          <t>Cardiology</t>
        </is>
      </c>
      <c r="E346" s="100" t="inlineStr">
        <is>
          <t>BU Cardiovascular</t>
        </is>
      </c>
      <c r="F346" s="99" t="inlineStr">
        <is>
          <t>F&amp;B</t>
        </is>
      </c>
      <c r="G346" s="99" t="inlineStr">
        <is>
          <t>Feb-2025</t>
        </is>
      </c>
      <c r="H346" s="99" t="inlineStr">
        <is>
          <t>Q1 2025</t>
        </is>
      </c>
      <c r="I346" s="101" t="n">
        <v>17064.38</v>
      </c>
      <c r="J346" s="101" t="n">
        <v>11411.73</v>
      </c>
      <c r="K346" s="101" t="n">
        <v>10147.43</v>
      </c>
      <c r="L346" s="165">
        <f>I346-J346</f>
        <v/>
      </c>
      <c r="M346" s="166">
        <f>IF(I346=0,0,ROUND((I346-J346)/I346,4))</f>
        <v/>
      </c>
      <c r="N346" s="104">
        <f>IF(I346=0,0,J346/I346)</f>
        <v/>
      </c>
      <c r="O346" s="105">
        <f>IF(L346&gt;=0,"Under","Over")</f>
        <v/>
      </c>
      <c r="P346" s="69">
        <f>IF(M346&lt;-0.05,"Watch","On Track")</f>
        <v/>
      </c>
    </row>
    <row r="347" ht="16" customHeight="1">
      <c r="A347" s="106" t="inlineStr">
        <is>
          <t>CC-00346</t>
        </is>
      </c>
      <c r="B347" s="71" t="inlineStr">
        <is>
          <t>EVT-2025-032</t>
        </is>
      </c>
      <c r="C347" s="70" t="inlineStr">
        <is>
          <t>Cordavex Advisory Board Helsinki Feb 2025</t>
        </is>
      </c>
      <c r="D347" s="70" t="inlineStr">
        <is>
          <t>Cardiology</t>
        </is>
      </c>
      <c r="E347" s="70" t="inlineStr">
        <is>
          <t>BU Cardiovascular</t>
        </is>
      </c>
      <c r="F347" s="71" t="inlineStr">
        <is>
          <t>Logistics</t>
        </is>
      </c>
      <c r="G347" s="71" t="inlineStr">
        <is>
          <t>Feb-2025</t>
        </is>
      </c>
      <c r="H347" s="71" t="inlineStr">
        <is>
          <t>Q1 2025</t>
        </is>
      </c>
      <c r="I347" s="73" t="n">
        <v>8532.190000000001</v>
      </c>
      <c r="J347" s="73" t="n">
        <v>5409.27</v>
      </c>
      <c r="K347" s="73" t="n">
        <v>4031.58</v>
      </c>
      <c r="L347" s="163">
        <f>I347-J347</f>
        <v/>
      </c>
      <c r="M347" s="161">
        <f>IF(I347=0,0,ROUND((I347-J347)/I347,4))</f>
        <v/>
      </c>
      <c r="N347" s="107">
        <f>IF(I347=0,0,J347/I347)</f>
        <v/>
      </c>
      <c r="O347" s="108">
        <f>IF(L347&gt;=0,"Under","Over")</f>
        <v/>
      </c>
      <c r="P347" s="69">
        <f>IF(M347&lt;-0.05,"Watch","On Track")</f>
        <v/>
      </c>
    </row>
    <row r="348" ht="16" customHeight="1">
      <c r="A348" s="98" t="inlineStr">
        <is>
          <t>CC-00347</t>
        </is>
      </c>
      <c r="B348" s="99" t="inlineStr">
        <is>
          <t>EVT-2025-032</t>
        </is>
      </c>
      <c r="C348" s="100" t="inlineStr">
        <is>
          <t>Cordavex Advisory Board Helsinki Feb 2025</t>
        </is>
      </c>
      <c r="D348" s="100" t="inlineStr">
        <is>
          <t>Cardiology</t>
        </is>
      </c>
      <c r="E348" s="100" t="inlineStr">
        <is>
          <t>BU Cardiovascular</t>
        </is>
      </c>
      <c r="F348" s="99" t="inlineStr">
        <is>
          <t>AV &amp; Technology</t>
        </is>
      </c>
      <c r="G348" s="99" t="inlineStr">
        <is>
          <t>Feb-2025</t>
        </is>
      </c>
      <c r="H348" s="99" t="inlineStr">
        <is>
          <t>Q1 2025</t>
        </is>
      </c>
      <c r="I348" s="101" t="n">
        <v>11376.25</v>
      </c>
      <c r="J348" s="101" t="n">
        <v>8069.85</v>
      </c>
      <c r="K348" s="101" t="n">
        <v>6752.87</v>
      </c>
      <c r="L348" s="165">
        <f>I348-J348</f>
        <v/>
      </c>
      <c r="M348" s="166">
        <f>IF(I348=0,0,ROUND((I348-J348)/I348,4))</f>
        <v/>
      </c>
      <c r="N348" s="104">
        <f>IF(I348=0,0,J348/I348)</f>
        <v/>
      </c>
      <c r="O348" s="105">
        <f>IF(L348&gt;=0,"Under","Over")</f>
        <v/>
      </c>
      <c r="P348" s="69">
        <f>IF(M348&lt;-0.05,"Watch","On Track")</f>
        <v/>
      </c>
    </row>
    <row r="349" ht="16" customHeight="1">
      <c r="A349" s="106" t="inlineStr">
        <is>
          <t>CC-00348</t>
        </is>
      </c>
      <c r="B349" s="71" t="inlineStr">
        <is>
          <t>EVT-2025-032</t>
        </is>
      </c>
      <c r="C349" s="70" t="inlineStr">
        <is>
          <t>Cordavex Advisory Board Helsinki Feb 2025</t>
        </is>
      </c>
      <c r="D349" s="70" t="inlineStr">
        <is>
          <t>Cardiology</t>
        </is>
      </c>
      <c r="E349" s="70" t="inlineStr">
        <is>
          <t>BU Cardiovascular</t>
        </is>
      </c>
      <c r="F349" s="71" t="inlineStr">
        <is>
          <t>Agency Fees</t>
        </is>
      </c>
      <c r="G349" s="71" t="inlineStr">
        <is>
          <t>Feb-2025</t>
        </is>
      </c>
      <c r="H349" s="71" t="inlineStr">
        <is>
          <t>Q1 2025</t>
        </is>
      </c>
      <c r="I349" s="73" t="n">
        <v>19908.44</v>
      </c>
      <c r="J349" s="73" t="n">
        <v>12546.8</v>
      </c>
      <c r="K349" s="73" t="n">
        <v>11183.2</v>
      </c>
      <c r="L349" s="163">
        <f>I349-J349</f>
        <v/>
      </c>
      <c r="M349" s="161">
        <f>IF(I349=0,0,ROUND((I349-J349)/I349,4))</f>
        <v/>
      </c>
      <c r="N349" s="107">
        <f>IF(I349=0,0,J349/I349)</f>
        <v/>
      </c>
      <c r="O349" s="108">
        <f>IF(L349&gt;=0,"Under","Over")</f>
        <v/>
      </c>
      <c r="P349" s="69">
        <f>IF(M349&lt;-0.05,"Watch","On Track")</f>
        <v/>
      </c>
    </row>
    <row r="350" ht="16" customHeight="1">
      <c r="A350" s="98" t="inlineStr">
        <is>
          <t>CC-00349</t>
        </is>
      </c>
      <c r="B350" s="99" t="inlineStr">
        <is>
          <t>EVT-2025-032</t>
        </is>
      </c>
      <c r="C350" s="100" t="inlineStr">
        <is>
          <t>Cordavex Advisory Board Helsinki Feb 2025</t>
        </is>
      </c>
      <c r="D350" s="100" t="inlineStr">
        <is>
          <t>Cardiology</t>
        </is>
      </c>
      <c r="E350" s="100" t="inlineStr">
        <is>
          <t>BU Cardiovascular</t>
        </is>
      </c>
      <c r="F350" s="99" t="inlineStr">
        <is>
          <t>Speaker Fees</t>
        </is>
      </c>
      <c r="G350" s="99" t="inlineStr">
        <is>
          <t>Feb-2025</t>
        </is>
      </c>
      <c r="H350" s="99" t="inlineStr">
        <is>
          <t>Q1 2025</t>
        </is>
      </c>
      <c r="I350" s="101" t="n">
        <v>14220.32</v>
      </c>
      <c r="J350" s="101" t="n">
        <v>15172.4</v>
      </c>
      <c r="K350" s="101" t="n">
        <v>14775.27</v>
      </c>
      <c r="L350" s="167">
        <f>I350-J350</f>
        <v/>
      </c>
      <c r="M350" s="168">
        <f>IF(I350=0,0,ROUND((I350-J350)/I350,4))</f>
        <v/>
      </c>
      <c r="N350" s="104">
        <f>IF(I350=0,0,J350/I350)</f>
        <v/>
      </c>
      <c r="O350" s="111">
        <f>IF(L350&gt;=0,"Under","Over")</f>
        <v/>
      </c>
      <c r="P350" s="76">
        <f>IF(M350&lt;-0.05,"Watch","On Track")</f>
        <v/>
      </c>
    </row>
    <row r="351" ht="16" customHeight="1">
      <c r="A351" s="106" t="inlineStr">
        <is>
          <t>CC-00350</t>
        </is>
      </c>
      <c r="B351" s="71" t="inlineStr">
        <is>
          <t>EVT-2025-032</t>
        </is>
      </c>
      <c r="C351" s="70" t="inlineStr">
        <is>
          <t>Cordavex Advisory Board Helsinki Feb 2025</t>
        </is>
      </c>
      <c r="D351" s="70" t="inlineStr">
        <is>
          <t>Cardiology</t>
        </is>
      </c>
      <c r="E351" s="70" t="inlineStr">
        <is>
          <t>BU Cardiovascular</t>
        </is>
      </c>
      <c r="F351" s="71" t="inlineStr">
        <is>
          <t>Translation</t>
        </is>
      </c>
      <c r="G351" s="71" t="inlineStr">
        <is>
          <t>Feb-2025</t>
        </is>
      </c>
      <c r="H351" s="71" t="inlineStr">
        <is>
          <t>Q1 2025</t>
        </is>
      </c>
      <c r="I351" s="73" t="n">
        <v>4266.09</v>
      </c>
      <c r="J351" s="73" t="n">
        <v>3965.94</v>
      </c>
      <c r="K351" s="73" t="n">
        <v>2794.88</v>
      </c>
      <c r="L351" s="163">
        <f>I351-J351</f>
        <v/>
      </c>
      <c r="M351" s="161">
        <f>IF(I351=0,0,ROUND((I351-J351)/I351,4))</f>
        <v/>
      </c>
      <c r="N351" s="107">
        <f>IF(I351=0,0,J351/I351)</f>
        <v/>
      </c>
      <c r="O351" s="108">
        <f>IF(L351&gt;=0,"Under","Over")</f>
        <v/>
      </c>
      <c r="P351" s="69">
        <f>IF(M351&lt;-0.05,"Watch","On Track")</f>
        <v/>
      </c>
    </row>
    <row r="352" ht="16" customHeight="1">
      <c r="A352" s="98" t="inlineStr">
        <is>
          <t>CC-00351</t>
        </is>
      </c>
      <c r="B352" s="99" t="inlineStr">
        <is>
          <t>EVT-2025-032</t>
        </is>
      </c>
      <c r="C352" s="100" t="inlineStr">
        <is>
          <t>Cordavex Advisory Board Helsinki Feb 2025</t>
        </is>
      </c>
      <c r="D352" s="100" t="inlineStr">
        <is>
          <t>Cardiology</t>
        </is>
      </c>
      <c r="E352" s="100" t="inlineStr">
        <is>
          <t>BU Cardiovascular</t>
        </is>
      </c>
      <c r="F352" s="99" t="inlineStr">
        <is>
          <t>Print &amp; Production</t>
        </is>
      </c>
      <c r="G352" s="99" t="inlineStr">
        <is>
          <t>Feb-2025</t>
        </is>
      </c>
      <c r="H352" s="99" t="inlineStr">
        <is>
          <t>Q1 2025</t>
        </is>
      </c>
      <c r="I352" s="101" t="n">
        <v>2844.06</v>
      </c>
      <c r="J352" s="101" t="n">
        <v>2463.26</v>
      </c>
      <c r="K352" s="101" t="n">
        <v>2028.25</v>
      </c>
      <c r="L352" s="165">
        <f>I352-J352</f>
        <v/>
      </c>
      <c r="M352" s="166">
        <f>IF(I352=0,0,ROUND((I352-J352)/I352,4))</f>
        <v/>
      </c>
      <c r="N352" s="104">
        <f>IF(I352=0,0,J352/I352)</f>
        <v/>
      </c>
      <c r="O352" s="105">
        <f>IF(L352&gt;=0,"Under","Over")</f>
        <v/>
      </c>
      <c r="P352" s="69">
        <f>IF(M352&lt;-0.05,"Watch","On Track")</f>
        <v/>
      </c>
    </row>
    <row r="353" ht="16" customHeight="1">
      <c r="A353" s="106" t="inlineStr">
        <is>
          <t>CC-00352</t>
        </is>
      </c>
      <c r="B353" s="71" t="inlineStr">
        <is>
          <t>EVT-2025-032</t>
        </is>
      </c>
      <c r="C353" s="70" t="inlineStr">
        <is>
          <t>Cordavex Advisory Board Helsinki Feb 2025</t>
        </is>
      </c>
      <c r="D353" s="70" t="inlineStr">
        <is>
          <t>Cardiology</t>
        </is>
      </c>
      <c r="E353" s="70" t="inlineStr">
        <is>
          <t>BU Cardiovascular</t>
        </is>
      </c>
      <c r="F353" s="71" t="inlineStr">
        <is>
          <t>Miscellaneous</t>
        </is>
      </c>
      <c r="G353" s="71" t="inlineStr">
        <is>
          <t>Feb-2025</t>
        </is>
      </c>
      <c r="H353" s="71" t="inlineStr">
        <is>
          <t>Q1 2025</t>
        </is>
      </c>
      <c r="I353" s="73" t="n">
        <v>2844.06</v>
      </c>
      <c r="J353" s="73" t="n">
        <v>1730.22</v>
      </c>
      <c r="K353" s="73" t="n">
        <v>1586.02</v>
      </c>
      <c r="L353" s="163">
        <f>I353-J353</f>
        <v/>
      </c>
      <c r="M353" s="161">
        <f>IF(I353=0,0,ROUND((I353-J353)/I353,4))</f>
        <v/>
      </c>
      <c r="N353" s="107">
        <f>IF(I353=0,0,J353/I353)</f>
        <v/>
      </c>
      <c r="O353" s="108">
        <f>IF(L353&gt;=0,"Under","Over")</f>
        <v/>
      </c>
      <c r="P353" s="69">
        <f>IF(M353&lt;-0.05,"Watch","On Track")</f>
        <v/>
      </c>
    </row>
    <row r="354" ht="16" customHeight="1">
      <c r="A354" s="98" t="inlineStr">
        <is>
          <t>CC-00353</t>
        </is>
      </c>
      <c r="B354" s="99" t="inlineStr">
        <is>
          <t>EVT-2025-033</t>
        </is>
      </c>
      <c r="C354" s="100" t="inlineStr">
        <is>
          <t>Caprexosin Advisory Board Athens Dec 2025</t>
        </is>
      </c>
      <c r="D354" s="100" t="inlineStr">
        <is>
          <t>Oncology</t>
        </is>
      </c>
      <c r="E354" s="100" t="inlineStr">
        <is>
          <t>BU Oncology</t>
        </is>
      </c>
      <c r="F354" s="99" t="inlineStr">
        <is>
          <t>Airfare</t>
        </is>
      </c>
      <c r="G354" s="99" t="inlineStr">
        <is>
          <t>Dec-2025</t>
        </is>
      </c>
      <c r="H354" s="99" t="inlineStr">
        <is>
          <t>Q4 2025</t>
        </is>
      </c>
      <c r="I354" s="101" t="n">
        <v>36729.45</v>
      </c>
      <c r="J354" s="101" t="n">
        <v>31876.35</v>
      </c>
      <c r="K354" s="101" t="n">
        <v>25055.02</v>
      </c>
      <c r="L354" s="165">
        <f>I354-J354</f>
        <v/>
      </c>
      <c r="M354" s="166">
        <f>IF(I354=0,0,ROUND((I354-J354)/I354,4))</f>
        <v/>
      </c>
      <c r="N354" s="104">
        <f>IF(I354=0,0,J354/I354)</f>
        <v/>
      </c>
      <c r="O354" s="105">
        <f>IF(L354&gt;=0,"Under","Over")</f>
        <v/>
      </c>
      <c r="P354" s="69">
        <f>IF(M354&lt;-0.05,"Watch","On Track")</f>
        <v/>
      </c>
    </row>
    <row r="355" ht="16" customHeight="1">
      <c r="A355" s="106" t="inlineStr">
        <is>
          <t>CC-00354</t>
        </is>
      </c>
      <c r="B355" s="71" t="inlineStr">
        <is>
          <t>EVT-2025-033</t>
        </is>
      </c>
      <c r="C355" s="70" t="inlineStr">
        <is>
          <t>Caprexosin Advisory Board Athens Dec 2025</t>
        </is>
      </c>
      <c r="D355" s="70" t="inlineStr">
        <is>
          <t>Oncology</t>
        </is>
      </c>
      <c r="E355" s="70" t="inlineStr">
        <is>
          <t>BU Oncology</t>
        </is>
      </c>
      <c r="F355" s="71" t="inlineStr">
        <is>
          <t>Hotel</t>
        </is>
      </c>
      <c r="G355" s="71" t="inlineStr">
        <is>
          <t>Dec-2025</t>
        </is>
      </c>
      <c r="H355" s="71" t="inlineStr">
        <is>
          <t>Q4 2025</t>
        </is>
      </c>
      <c r="I355" s="73" t="n">
        <v>66113.00999999999</v>
      </c>
      <c r="J355" s="73" t="n">
        <v>56269.31</v>
      </c>
      <c r="K355" s="73" t="n">
        <v>51168.93</v>
      </c>
      <c r="L355" s="163">
        <f>I355-J355</f>
        <v/>
      </c>
      <c r="M355" s="161">
        <f>IF(I355=0,0,ROUND((I355-J355)/I355,4))</f>
        <v/>
      </c>
      <c r="N355" s="107">
        <f>IF(I355=0,0,J355/I355)</f>
        <v/>
      </c>
      <c r="O355" s="108">
        <f>IF(L355&gt;=0,"Under","Over")</f>
        <v/>
      </c>
      <c r="P355" s="69">
        <f>IF(M355&lt;-0.05,"Watch","On Track")</f>
        <v/>
      </c>
    </row>
    <row r="356" ht="16" customHeight="1">
      <c r="A356" s="98" t="inlineStr">
        <is>
          <t>CC-00355</t>
        </is>
      </c>
      <c r="B356" s="99" t="inlineStr">
        <is>
          <t>EVT-2025-033</t>
        </is>
      </c>
      <c r="C356" s="100" t="inlineStr">
        <is>
          <t>Caprexosin Advisory Board Athens Dec 2025</t>
        </is>
      </c>
      <c r="D356" s="100" t="inlineStr">
        <is>
          <t>Oncology</t>
        </is>
      </c>
      <c r="E356" s="100" t="inlineStr">
        <is>
          <t>BU Oncology</t>
        </is>
      </c>
      <c r="F356" s="99" t="inlineStr">
        <is>
          <t>Venue</t>
        </is>
      </c>
      <c r="G356" s="99" t="inlineStr">
        <is>
          <t>Dec-2025</t>
        </is>
      </c>
      <c r="H356" s="99" t="inlineStr">
        <is>
          <t>Q4 2025</t>
        </is>
      </c>
      <c r="I356" s="101" t="n">
        <v>55094.17</v>
      </c>
      <c r="J356" s="101" t="n">
        <v>44917.54</v>
      </c>
      <c r="K356" s="101" t="n">
        <v>44105.14</v>
      </c>
      <c r="L356" s="165">
        <f>I356-J356</f>
        <v/>
      </c>
      <c r="M356" s="166">
        <f>IF(I356=0,0,ROUND((I356-J356)/I356,4))</f>
        <v/>
      </c>
      <c r="N356" s="104">
        <f>IF(I356=0,0,J356/I356)</f>
        <v/>
      </c>
      <c r="O356" s="105">
        <f>IF(L356&gt;=0,"Under","Over")</f>
        <v/>
      </c>
      <c r="P356" s="69">
        <f>IF(M356&lt;-0.05,"Watch","On Track")</f>
        <v/>
      </c>
    </row>
    <row r="357" ht="16" customHeight="1">
      <c r="A357" s="106" t="inlineStr">
        <is>
          <t>CC-00356</t>
        </is>
      </c>
      <c r="B357" s="71" t="inlineStr">
        <is>
          <t>EVT-2025-033</t>
        </is>
      </c>
      <c r="C357" s="70" t="inlineStr">
        <is>
          <t>Caprexosin Advisory Board Athens Dec 2025</t>
        </is>
      </c>
      <c r="D357" s="70" t="inlineStr">
        <is>
          <t>Oncology</t>
        </is>
      </c>
      <c r="E357" s="70" t="inlineStr">
        <is>
          <t>BU Oncology</t>
        </is>
      </c>
      <c r="F357" s="71" t="inlineStr">
        <is>
          <t>F&amp;B</t>
        </is>
      </c>
      <c r="G357" s="71" t="inlineStr">
        <is>
          <t>Dec-2025</t>
        </is>
      </c>
      <c r="H357" s="71" t="inlineStr">
        <is>
          <t>Q4 2025</t>
        </is>
      </c>
      <c r="I357" s="73" t="n">
        <v>44075.34</v>
      </c>
      <c r="J357" s="73" t="n">
        <v>30395.83</v>
      </c>
      <c r="K357" s="73" t="n">
        <v>29648.54</v>
      </c>
      <c r="L357" s="163">
        <f>I357-J357</f>
        <v/>
      </c>
      <c r="M357" s="161">
        <f>IF(I357=0,0,ROUND((I357-J357)/I357,4))</f>
        <v/>
      </c>
      <c r="N357" s="107">
        <f>IF(I357=0,0,J357/I357)</f>
        <v/>
      </c>
      <c r="O357" s="108">
        <f>IF(L357&gt;=0,"Under","Over")</f>
        <v/>
      </c>
      <c r="P357" s="69">
        <f>IF(M357&lt;-0.05,"Watch","On Track")</f>
        <v/>
      </c>
    </row>
    <row r="358" ht="16" customHeight="1">
      <c r="A358" s="98" t="inlineStr">
        <is>
          <t>CC-00357</t>
        </is>
      </c>
      <c r="B358" s="99" t="inlineStr">
        <is>
          <t>EVT-2025-033</t>
        </is>
      </c>
      <c r="C358" s="100" t="inlineStr">
        <is>
          <t>Caprexosin Advisory Board Athens Dec 2025</t>
        </is>
      </c>
      <c r="D358" s="100" t="inlineStr">
        <is>
          <t>Oncology</t>
        </is>
      </c>
      <c r="E358" s="100" t="inlineStr">
        <is>
          <t>BU Oncology</t>
        </is>
      </c>
      <c r="F358" s="99" t="inlineStr">
        <is>
          <t>Logistics</t>
        </is>
      </c>
      <c r="G358" s="99" t="inlineStr">
        <is>
          <t>Dec-2025</t>
        </is>
      </c>
      <c r="H358" s="99" t="inlineStr">
        <is>
          <t>Q4 2025</t>
        </is>
      </c>
      <c r="I358" s="101" t="n">
        <v>22037.67</v>
      </c>
      <c r="J358" s="101" t="n">
        <v>19000.72</v>
      </c>
      <c r="K358" s="101" t="n">
        <v>14674.08</v>
      </c>
      <c r="L358" s="165">
        <f>I358-J358</f>
        <v/>
      </c>
      <c r="M358" s="166">
        <f>IF(I358=0,0,ROUND((I358-J358)/I358,4))</f>
        <v/>
      </c>
      <c r="N358" s="104">
        <f>IF(I358=0,0,J358/I358)</f>
        <v/>
      </c>
      <c r="O358" s="105">
        <f>IF(L358&gt;=0,"Under","Over")</f>
        <v/>
      </c>
      <c r="P358" s="69">
        <f>IF(M358&lt;-0.05,"Watch","On Track")</f>
        <v/>
      </c>
    </row>
    <row r="359" ht="16" customHeight="1">
      <c r="A359" s="106" t="inlineStr">
        <is>
          <t>CC-00358</t>
        </is>
      </c>
      <c r="B359" s="71" t="inlineStr">
        <is>
          <t>EVT-2025-033</t>
        </is>
      </c>
      <c r="C359" s="70" t="inlineStr">
        <is>
          <t>Caprexosin Advisory Board Athens Dec 2025</t>
        </is>
      </c>
      <c r="D359" s="70" t="inlineStr">
        <is>
          <t>Oncology</t>
        </is>
      </c>
      <c r="E359" s="70" t="inlineStr">
        <is>
          <t>BU Oncology</t>
        </is>
      </c>
      <c r="F359" s="71" t="inlineStr">
        <is>
          <t>AV &amp; Technology</t>
        </is>
      </c>
      <c r="G359" s="71" t="inlineStr">
        <is>
          <t>Dec-2025</t>
        </is>
      </c>
      <c r="H359" s="71" t="inlineStr">
        <is>
          <t>Q4 2025</t>
        </is>
      </c>
      <c r="I359" s="73" t="n">
        <v>29383.56</v>
      </c>
      <c r="J359" s="73" t="n">
        <v>26735.82</v>
      </c>
      <c r="K359" s="73" t="n">
        <v>20739.66</v>
      </c>
      <c r="L359" s="163">
        <f>I359-J359</f>
        <v/>
      </c>
      <c r="M359" s="161">
        <f>IF(I359=0,0,ROUND((I359-J359)/I359,4))</f>
        <v/>
      </c>
      <c r="N359" s="107">
        <f>IF(I359=0,0,J359/I359)</f>
        <v/>
      </c>
      <c r="O359" s="108">
        <f>IF(L359&gt;=0,"Under","Over")</f>
        <v/>
      </c>
      <c r="P359" s="69">
        <f>IF(M359&lt;-0.05,"Watch","On Track")</f>
        <v/>
      </c>
    </row>
    <row r="360" ht="16" customHeight="1">
      <c r="A360" s="98" t="inlineStr">
        <is>
          <t>CC-00359</t>
        </is>
      </c>
      <c r="B360" s="99" t="inlineStr">
        <is>
          <t>EVT-2025-033</t>
        </is>
      </c>
      <c r="C360" s="100" t="inlineStr">
        <is>
          <t>Caprexosin Advisory Board Athens Dec 2025</t>
        </is>
      </c>
      <c r="D360" s="100" t="inlineStr">
        <is>
          <t>Oncology</t>
        </is>
      </c>
      <c r="E360" s="100" t="inlineStr">
        <is>
          <t>BU Oncology</t>
        </is>
      </c>
      <c r="F360" s="99" t="inlineStr">
        <is>
          <t>Agency Fees</t>
        </is>
      </c>
      <c r="G360" s="99" t="inlineStr">
        <is>
          <t>Dec-2025</t>
        </is>
      </c>
      <c r="H360" s="99" t="inlineStr">
        <is>
          <t>Q4 2025</t>
        </is>
      </c>
      <c r="I360" s="101" t="n">
        <v>51421.23</v>
      </c>
      <c r="J360" s="101" t="n">
        <v>39965.64</v>
      </c>
      <c r="K360" s="101" t="n">
        <v>37506.99</v>
      </c>
      <c r="L360" s="165">
        <f>I360-J360</f>
        <v/>
      </c>
      <c r="M360" s="166">
        <f>IF(I360=0,0,ROUND((I360-J360)/I360,4))</f>
        <v/>
      </c>
      <c r="N360" s="104">
        <f>IF(I360=0,0,J360/I360)</f>
        <v/>
      </c>
      <c r="O360" s="105">
        <f>IF(L360&gt;=0,"Under","Over")</f>
        <v/>
      </c>
      <c r="P360" s="69">
        <f>IF(M360&lt;-0.05,"Watch","On Track")</f>
        <v/>
      </c>
    </row>
    <row r="361" ht="16" customHeight="1">
      <c r="A361" s="106" t="inlineStr">
        <is>
          <t>CC-00360</t>
        </is>
      </c>
      <c r="B361" s="71" t="inlineStr">
        <is>
          <t>EVT-2025-033</t>
        </is>
      </c>
      <c r="C361" s="70" t="inlineStr">
        <is>
          <t>Caprexosin Advisory Board Athens Dec 2025</t>
        </is>
      </c>
      <c r="D361" s="70" t="inlineStr">
        <is>
          <t>Oncology</t>
        </is>
      </c>
      <c r="E361" s="70" t="inlineStr">
        <is>
          <t>BU Oncology</t>
        </is>
      </c>
      <c r="F361" s="71" t="inlineStr">
        <is>
          <t>Speaker Fees</t>
        </is>
      </c>
      <c r="G361" s="71" t="inlineStr">
        <is>
          <t>Dec-2025</t>
        </is>
      </c>
      <c r="H361" s="71" t="inlineStr">
        <is>
          <t>Q4 2025</t>
        </is>
      </c>
      <c r="I361" s="73" t="n">
        <v>36729.45</v>
      </c>
      <c r="J361" s="73" t="n">
        <v>23488.84</v>
      </c>
      <c r="K361" s="73" t="n">
        <v>23202.03</v>
      </c>
      <c r="L361" s="163">
        <f>I361-J361</f>
        <v/>
      </c>
      <c r="M361" s="161">
        <f>IF(I361=0,0,ROUND((I361-J361)/I361,4))</f>
        <v/>
      </c>
      <c r="N361" s="107">
        <f>IF(I361=0,0,J361/I361)</f>
        <v/>
      </c>
      <c r="O361" s="108">
        <f>IF(L361&gt;=0,"Under","Over")</f>
        <v/>
      </c>
      <c r="P361" s="69">
        <f>IF(M361&lt;-0.05,"Watch","On Track")</f>
        <v/>
      </c>
    </row>
    <row r="362" ht="16" customHeight="1">
      <c r="A362" s="98" t="inlineStr">
        <is>
          <t>CC-00361</t>
        </is>
      </c>
      <c r="B362" s="99" t="inlineStr">
        <is>
          <t>EVT-2025-033</t>
        </is>
      </c>
      <c r="C362" s="100" t="inlineStr">
        <is>
          <t>Caprexosin Advisory Board Athens Dec 2025</t>
        </is>
      </c>
      <c r="D362" s="100" t="inlineStr">
        <is>
          <t>Oncology</t>
        </is>
      </c>
      <c r="E362" s="100" t="inlineStr">
        <is>
          <t>BU Oncology</t>
        </is>
      </c>
      <c r="F362" s="99" t="inlineStr">
        <is>
          <t>Translation</t>
        </is>
      </c>
      <c r="G362" s="99" t="inlineStr">
        <is>
          <t>Dec-2025</t>
        </is>
      </c>
      <c r="H362" s="99" t="inlineStr">
        <is>
          <t>Q4 2025</t>
        </is>
      </c>
      <c r="I362" s="101" t="n">
        <v>11018.83</v>
      </c>
      <c r="J362" s="101" t="n">
        <v>9140.110000000001</v>
      </c>
      <c r="K362" s="101" t="n">
        <v>7064.96</v>
      </c>
      <c r="L362" s="165">
        <f>I362-J362</f>
        <v/>
      </c>
      <c r="M362" s="166">
        <f>IF(I362=0,0,ROUND((I362-J362)/I362,4))</f>
        <v/>
      </c>
      <c r="N362" s="104">
        <f>IF(I362=0,0,J362/I362)</f>
        <v/>
      </c>
      <c r="O362" s="105">
        <f>IF(L362&gt;=0,"Under","Over")</f>
        <v/>
      </c>
      <c r="P362" s="69">
        <f>IF(M362&lt;-0.05,"Watch","On Track")</f>
        <v/>
      </c>
    </row>
    <row r="363" ht="16" customHeight="1">
      <c r="A363" s="106" t="inlineStr">
        <is>
          <t>CC-00362</t>
        </is>
      </c>
      <c r="B363" s="71" t="inlineStr">
        <is>
          <t>EVT-2025-033</t>
        </is>
      </c>
      <c r="C363" s="70" t="inlineStr">
        <is>
          <t>Caprexosin Advisory Board Athens Dec 2025</t>
        </is>
      </c>
      <c r="D363" s="70" t="inlineStr">
        <is>
          <t>Oncology</t>
        </is>
      </c>
      <c r="E363" s="70" t="inlineStr">
        <is>
          <t>BU Oncology</t>
        </is>
      </c>
      <c r="F363" s="71" t="inlineStr">
        <is>
          <t>Print &amp; Production</t>
        </is>
      </c>
      <c r="G363" s="71" t="inlineStr">
        <is>
          <t>Dec-2025</t>
        </is>
      </c>
      <c r="H363" s="71" t="inlineStr">
        <is>
          <t>Q4 2025</t>
        </is>
      </c>
      <c r="I363" s="73" t="n">
        <v>7345.89</v>
      </c>
      <c r="J363" s="73" t="n">
        <v>6968.44</v>
      </c>
      <c r="K363" s="73" t="n">
        <v>5505.01</v>
      </c>
      <c r="L363" s="163">
        <f>I363-J363</f>
        <v/>
      </c>
      <c r="M363" s="161">
        <f>IF(I363=0,0,ROUND((I363-J363)/I363,4))</f>
        <v/>
      </c>
      <c r="N363" s="107">
        <f>IF(I363=0,0,J363/I363)</f>
        <v/>
      </c>
      <c r="O363" s="108">
        <f>IF(L363&gt;=0,"Under","Over")</f>
        <v/>
      </c>
      <c r="P363" s="69">
        <f>IF(M363&lt;-0.05,"Watch","On Track")</f>
        <v/>
      </c>
    </row>
    <row r="364" ht="16" customHeight="1">
      <c r="A364" s="98" t="inlineStr">
        <is>
          <t>CC-00363</t>
        </is>
      </c>
      <c r="B364" s="99" t="inlineStr">
        <is>
          <t>EVT-2025-033</t>
        </is>
      </c>
      <c r="C364" s="100" t="inlineStr">
        <is>
          <t>Caprexosin Advisory Board Athens Dec 2025</t>
        </is>
      </c>
      <c r="D364" s="100" t="inlineStr">
        <is>
          <t>Oncology</t>
        </is>
      </c>
      <c r="E364" s="100" t="inlineStr">
        <is>
          <t>BU Oncology</t>
        </is>
      </c>
      <c r="F364" s="99" t="inlineStr">
        <is>
          <t>Miscellaneous</t>
        </is>
      </c>
      <c r="G364" s="99" t="inlineStr">
        <is>
          <t>Dec-2025</t>
        </is>
      </c>
      <c r="H364" s="99" t="inlineStr">
        <is>
          <t>Q4 2025</t>
        </is>
      </c>
      <c r="I364" s="101" t="n">
        <v>7345.89</v>
      </c>
      <c r="J364" s="101" t="n">
        <v>7448.96</v>
      </c>
      <c r="K364" s="101" t="n">
        <v>5394.43</v>
      </c>
      <c r="L364" s="167">
        <f>I364-J364</f>
        <v/>
      </c>
      <c r="M364" s="166">
        <f>IF(I364=0,0,ROUND((I364-J364)/I364,4))</f>
        <v/>
      </c>
      <c r="N364" s="104">
        <f>IF(I364=0,0,J364/I364)</f>
        <v/>
      </c>
      <c r="O364" s="111">
        <f>IF(L364&gt;=0,"Under","Over")</f>
        <v/>
      </c>
      <c r="P364" s="69">
        <f>IF(M364&lt;-0.05,"Watch","On Track")</f>
        <v/>
      </c>
    </row>
    <row r="365" ht="16" customHeight="1">
      <c r="A365" s="106" t="inlineStr">
        <is>
          <t>CC-00364</t>
        </is>
      </c>
      <c r="B365" s="71" t="inlineStr">
        <is>
          <t>EVT-2025-034</t>
        </is>
      </c>
      <c r="C365" s="70" t="inlineStr">
        <is>
          <t>Antivex Internal Meeting Lisbon Mar 2025</t>
        </is>
      </c>
      <c r="D365" s="70" t="inlineStr">
        <is>
          <t>Infectious Diseases</t>
        </is>
      </c>
      <c r="E365" s="70" t="inlineStr">
        <is>
          <t>BU Infectious Diseases</t>
        </is>
      </c>
      <c r="F365" s="71" t="inlineStr">
        <is>
          <t>Airfare</t>
        </is>
      </c>
      <c r="G365" s="71" t="inlineStr">
        <is>
          <t>Mar-2025</t>
        </is>
      </c>
      <c r="H365" s="71" t="inlineStr">
        <is>
          <t>Q1 2025</t>
        </is>
      </c>
      <c r="I365" s="73" t="n">
        <v>1913.81</v>
      </c>
      <c r="J365" s="73" t="n">
        <v>2097.22</v>
      </c>
      <c r="K365" s="73" t="n">
        <v>1876.95</v>
      </c>
      <c r="L365" s="158">
        <f>I365-J365</f>
        <v/>
      </c>
      <c r="M365" s="159">
        <f>IF(I365=0,0,ROUND((I365-J365)/I365,4))</f>
        <v/>
      </c>
      <c r="N365" s="107">
        <f>IF(I365=0,0,J365/I365)</f>
        <v/>
      </c>
      <c r="O365" s="112">
        <f>IF(L365&gt;=0,"Under","Over")</f>
        <v/>
      </c>
      <c r="P365" s="76">
        <f>IF(M365&lt;-0.05,"Watch","On Track")</f>
        <v/>
      </c>
    </row>
    <row r="366" ht="16" customHeight="1">
      <c r="A366" s="98" t="inlineStr">
        <is>
          <t>CC-00365</t>
        </is>
      </c>
      <c r="B366" s="99" t="inlineStr">
        <is>
          <t>EVT-2025-034</t>
        </is>
      </c>
      <c r="C366" s="100" t="inlineStr">
        <is>
          <t>Antivex Internal Meeting Lisbon Mar 2025</t>
        </is>
      </c>
      <c r="D366" s="100" t="inlineStr">
        <is>
          <t>Infectious Diseases</t>
        </is>
      </c>
      <c r="E366" s="100" t="inlineStr">
        <is>
          <t>BU Infectious Diseases</t>
        </is>
      </c>
      <c r="F366" s="99" t="inlineStr">
        <is>
          <t>Hotel</t>
        </is>
      </c>
      <c r="G366" s="99" t="inlineStr">
        <is>
          <t>Mar-2025</t>
        </is>
      </c>
      <c r="H366" s="99" t="inlineStr">
        <is>
          <t>Q1 2025</t>
        </is>
      </c>
      <c r="I366" s="101" t="n">
        <v>3444.85</v>
      </c>
      <c r="J366" s="101" t="n">
        <v>2121.48</v>
      </c>
      <c r="K366" s="101" t="n">
        <v>1742.97</v>
      </c>
      <c r="L366" s="165">
        <f>I366-J366</f>
        <v/>
      </c>
      <c r="M366" s="166">
        <f>IF(I366=0,0,ROUND((I366-J366)/I366,4))</f>
        <v/>
      </c>
      <c r="N366" s="104">
        <f>IF(I366=0,0,J366/I366)</f>
        <v/>
      </c>
      <c r="O366" s="105">
        <f>IF(L366&gt;=0,"Under","Over")</f>
        <v/>
      </c>
      <c r="P366" s="69">
        <f>IF(M366&lt;-0.05,"Watch","On Track")</f>
        <v/>
      </c>
    </row>
    <row r="367" ht="16" customHeight="1">
      <c r="A367" s="106" t="inlineStr">
        <is>
          <t>CC-00366</t>
        </is>
      </c>
      <c r="B367" s="71" t="inlineStr">
        <is>
          <t>EVT-2025-034</t>
        </is>
      </c>
      <c r="C367" s="70" t="inlineStr">
        <is>
          <t>Antivex Internal Meeting Lisbon Mar 2025</t>
        </is>
      </c>
      <c r="D367" s="70" t="inlineStr">
        <is>
          <t>Infectious Diseases</t>
        </is>
      </c>
      <c r="E367" s="70" t="inlineStr">
        <is>
          <t>BU Infectious Diseases</t>
        </is>
      </c>
      <c r="F367" s="71" t="inlineStr">
        <is>
          <t>Venue</t>
        </is>
      </c>
      <c r="G367" s="71" t="inlineStr">
        <is>
          <t>Mar-2025</t>
        </is>
      </c>
      <c r="H367" s="71" t="inlineStr">
        <is>
          <t>Q1 2025</t>
        </is>
      </c>
      <c r="I367" s="73" t="n">
        <v>2870.71</v>
      </c>
      <c r="J367" s="73" t="n">
        <v>2263.8</v>
      </c>
      <c r="K367" s="73" t="n">
        <v>1907.93</v>
      </c>
      <c r="L367" s="163">
        <f>I367-J367</f>
        <v/>
      </c>
      <c r="M367" s="161">
        <f>IF(I367=0,0,ROUND((I367-J367)/I367,4))</f>
        <v/>
      </c>
      <c r="N367" s="107">
        <f>IF(I367=0,0,J367/I367)</f>
        <v/>
      </c>
      <c r="O367" s="108">
        <f>IF(L367&gt;=0,"Under","Over")</f>
        <v/>
      </c>
      <c r="P367" s="69">
        <f>IF(M367&lt;-0.05,"Watch","On Track")</f>
        <v/>
      </c>
    </row>
    <row r="368" ht="16" customHeight="1">
      <c r="A368" s="98" t="inlineStr">
        <is>
          <t>CC-00367</t>
        </is>
      </c>
      <c r="B368" s="99" t="inlineStr">
        <is>
          <t>EVT-2025-034</t>
        </is>
      </c>
      <c r="C368" s="100" t="inlineStr">
        <is>
          <t>Antivex Internal Meeting Lisbon Mar 2025</t>
        </is>
      </c>
      <c r="D368" s="100" t="inlineStr">
        <is>
          <t>Infectious Diseases</t>
        </is>
      </c>
      <c r="E368" s="100" t="inlineStr">
        <is>
          <t>BU Infectious Diseases</t>
        </is>
      </c>
      <c r="F368" s="99" t="inlineStr">
        <is>
          <t>F&amp;B</t>
        </is>
      </c>
      <c r="G368" s="99" t="inlineStr">
        <is>
          <t>Mar-2025</t>
        </is>
      </c>
      <c r="H368" s="99" t="inlineStr">
        <is>
          <t>Q1 2025</t>
        </is>
      </c>
      <c r="I368" s="101" t="n">
        <v>2296.57</v>
      </c>
      <c r="J368" s="101" t="n">
        <v>2109.11</v>
      </c>
      <c r="K368" s="101" t="n">
        <v>1921.09</v>
      </c>
      <c r="L368" s="165">
        <f>I368-J368</f>
        <v/>
      </c>
      <c r="M368" s="166">
        <f>IF(I368=0,0,ROUND((I368-J368)/I368,4))</f>
        <v/>
      </c>
      <c r="N368" s="104">
        <f>IF(I368=0,0,J368/I368)</f>
        <v/>
      </c>
      <c r="O368" s="105">
        <f>IF(L368&gt;=0,"Under","Over")</f>
        <v/>
      </c>
      <c r="P368" s="69">
        <f>IF(M368&lt;-0.05,"Watch","On Track")</f>
        <v/>
      </c>
    </row>
    <row r="369" ht="16" customHeight="1">
      <c r="A369" s="106" t="inlineStr">
        <is>
          <t>CC-00368</t>
        </is>
      </c>
      <c r="B369" s="71" t="inlineStr">
        <is>
          <t>EVT-2025-034</t>
        </is>
      </c>
      <c r="C369" s="70" t="inlineStr">
        <is>
          <t>Antivex Internal Meeting Lisbon Mar 2025</t>
        </is>
      </c>
      <c r="D369" s="70" t="inlineStr">
        <is>
          <t>Infectious Diseases</t>
        </is>
      </c>
      <c r="E369" s="70" t="inlineStr">
        <is>
          <t>BU Infectious Diseases</t>
        </is>
      </c>
      <c r="F369" s="71" t="inlineStr">
        <is>
          <t>Logistics</t>
        </is>
      </c>
      <c r="G369" s="71" t="inlineStr">
        <is>
          <t>Mar-2025</t>
        </is>
      </c>
      <c r="H369" s="71" t="inlineStr">
        <is>
          <t>Q1 2025</t>
        </is>
      </c>
      <c r="I369" s="73" t="n">
        <v>1148.28</v>
      </c>
      <c r="J369" s="73" t="n">
        <v>736.4400000000001</v>
      </c>
      <c r="K369" s="73" t="n">
        <v>702.27</v>
      </c>
      <c r="L369" s="163">
        <f>I369-J369</f>
        <v/>
      </c>
      <c r="M369" s="161">
        <f>IF(I369=0,0,ROUND((I369-J369)/I369,4))</f>
        <v/>
      </c>
      <c r="N369" s="107">
        <f>IF(I369=0,0,J369/I369)</f>
        <v/>
      </c>
      <c r="O369" s="108">
        <f>IF(L369&gt;=0,"Under","Over")</f>
        <v/>
      </c>
      <c r="P369" s="69">
        <f>IF(M369&lt;-0.05,"Watch","On Track")</f>
        <v/>
      </c>
    </row>
    <row r="370" ht="16" customHeight="1">
      <c r="A370" s="98" t="inlineStr">
        <is>
          <t>CC-00369</t>
        </is>
      </c>
      <c r="B370" s="99" t="inlineStr">
        <is>
          <t>EVT-2025-034</t>
        </is>
      </c>
      <c r="C370" s="100" t="inlineStr">
        <is>
          <t>Antivex Internal Meeting Lisbon Mar 2025</t>
        </is>
      </c>
      <c r="D370" s="100" t="inlineStr">
        <is>
          <t>Infectious Diseases</t>
        </is>
      </c>
      <c r="E370" s="100" t="inlineStr">
        <is>
          <t>BU Infectious Diseases</t>
        </is>
      </c>
      <c r="F370" s="99" t="inlineStr">
        <is>
          <t>AV &amp; Technology</t>
        </is>
      </c>
      <c r="G370" s="99" t="inlineStr">
        <is>
          <t>Mar-2025</t>
        </is>
      </c>
      <c r="H370" s="99" t="inlineStr">
        <is>
          <t>Q1 2025</t>
        </is>
      </c>
      <c r="I370" s="101" t="n">
        <v>1531.05</v>
      </c>
      <c r="J370" s="101" t="n">
        <v>1412.32</v>
      </c>
      <c r="K370" s="101" t="n">
        <v>1128.98</v>
      </c>
      <c r="L370" s="165">
        <f>I370-J370</f>
        <v/>
      </c>
      <c r="M370" s="166">
        <f>IF(I370=0,0,ROUND((I370-J370)/I370,4))</f>
        <v/>
      </c>
      <c r="N370" s="104">
        <f>IF(I370=0,0,J370/I370)</f>
        <v/>
      </c>
      <c r="O370" s="105">
        <f>IF(L370&gt;=0,"Under","Over")</f>
        <v/>
      </c>
      <c r="P370" s="69">
        <f>IF(M370&lt;-0.05,"Watch","On Track")</f>
        <v/>
      </c>
    </row>
    <row r="371" ht="16" customHeight="1">
      <c r="A371" s="106" t="inlineStr">
        <is>
          <t>CC-00370</t>
        </is>
      </c>
      <c r="B371" s="71" t="inlineStr">
        <is>
          <t>EVT-2025-034</t>
        </is>
      </c>
      <c r="C371" s="70" t="inlineStr">
        <is>
          <t>Antivex Internal Meeting Lisbon Mar 2025</t>
        </is>
      </c>
      <c r="D371" s="70" t="inlineStr">
        <is>
          <t>Infectious Diseases</t>
        </is>
      </c>
      <c r="E371" s="70" t="inlineStr">
        <is>
          <t>BU Infectious Diseases</t>
        </is>
      </c>
      <c r="F371" s="71" t="inlineStr">
        <is>
          <t>Agency Fees</t>
        </is>
      </c>
      <c r="G371" s="71" t="inlineStr">
        <is>
          <t>Mar-2025</t>
        </is>
      </c>
      <c r="H371" s="71" t="inlineStr">
        <is>
          <t>Q1 2025</t>
        </is>
      </c>
      <c r="I371" s="73" t="n">
        <v>2679.33</v>
      </c>
      <c r="J371" s="73" t="n">
        <v>2916.89</v>
      </c>
      <c r="K371" s="73" t="n">
        <v>2894</v>
      </c>
      <c r="L371" s="158">
        <f>I371-J371</f>
        <v/>
      </c>
      <c r="M371" s="159">
        <f>IF(I371=0,0,ROUND((I371-J371)/I371,4))</f>
        <v/>
      </c>
      <c r="N371" s="107">
        <f>IF(I371=0,0,J371/I371)</f>
        <v/>
      </c>
      <c r="O371" s="112">
        <f>IF(L371&gt;=0,"Under","Over")</f>
        <v/>
      </c>
      <c r="P371" s="76">
        <f>IF(M371&lt;-0.05,"Watch","On Track")</f>
        <v/>
      </c>
    </row>
    <row r="372" ht="16" customHeight="1">
      <c r="A372" s="98" t="inlineStr">
        <is>
          <t>CC-00371</t>
        </is>
      </c>
      <c r="B372" s="99" t="inlineStr">
        <is>
          <t>EVT-2025-034</t>
        </is>
      </c>
      <c r="C372" s="100" t="inlineStr">
        <is>
          <t>Antivex Internal Meeting Lisbon Mar 2025</t>
        </is>
      </c>
      <c r="D372" s="100" t="inlineStr">
        <is>
          <t>Infectious Diseases</t>
        </is>
      </c>
      <c r="E372" s="100" t="inlineStr">
        <is>
          <t>BU Infectious Diseases</t>
        </is>
      </c>
      <c r="F372" s="99" t="inlineStr">
        <is>
          <t>Speaker Fees</t>
        </is>
      </c>
      <c r="G372" s="99" t="inlineStr">
        <is>
          <t>Mar-2025</t>
        </is>
      </c>
      <c r="H372" s="99" t="inlineStr">
        <is>
          <t>Q1 2025</t>
        </is>
      </c>
      <c r="I372" s="101" t="n">
        <v>1913.81</v>
      </c>
      <c r="J372" s="101" t="n">
        <v>2004.52</v>
      </c>
      <c r="K372" s="101" t="n">
        <v>1955.9</v>
      </c>
      <c r="L372" s="167">
        <f>I372-J372</f>
        <v/>
      </c>
      <c r="M372" s="166">
        <f>IF(I372=0,0,ROUND((I372-J372)/I372,4))</f>
        <v/>
      </c>
      <c r="N372" s="104">
        <f>IF(I372=0,0,J372/I372)</f>
        <v/>
      </c>
      <c r="O372" s="111">
        <f>IF(L372&gt;=0,"Under","Over")</f>
        <v/>
      </c>
      <c r="P372" s="69">
        <f>IF(M372&lt;-0.05,"Watch","On Track")</f>
        <v/>
      </c>
    </row>
    <row r="373" ht="16" customHeight="1">
      <c r="A373" s="106" t="inlineStr">
        <is>
          <t>CC-00372</t>
        </is>
      </c>
      <c r="B373" s="71" t="inlineStr">
        <is>
          <t>EVT-2025-034</t>
        </is>
      </c>
      <c r="C373" s="70" t="inlineStr">
        <is>
          <t>Antivex Internal Meeting Lisbon Mar 2025</t>
        </is>
      </c>
      <c r="D373" s="70" t="inlineStr">
        <is>
          <t>Infectious Diseases</t>
        </is>
      </c>
      <c r="E373" s="70" t="inlineStr">
        <is>
          <t>BU Infectious Diseases</t>
        </is>
      </c>
      <c r="F373" s="71" t="inlineStr">
        <is>
          <t>Translation</t>
        </is>
      </c>
      <c r="G373" s="71" t="inlineStr">
        <is>
          <t>Mar-2025</t>
        </is>
      </c>
      <c r="H373" s="71" t="inlineStr">
        <is>
          <t>Q1 2025</t>
        </is>
      </c>
      <c r="I373" s="73" t="n">
        <v>574.14</v>
      </c>
      <c r="J373" s="73" t="n">
        <v>410.44</v>
      </c>
      <c r="K373" s="73" t="n">
        <v>398.28</v>
      </c>
      <c r="L373" s="163">
        <f>I373-J373</f>
        <v/>
      </c>
      <c r="M373" s="161">
        <f>IF(I373=0,0,ROUND((I373-J373)/I373,4))</f>
        <v/>
      </c>
      <c r="N373" s="107">
        <f>IF(I373=0,0,J373/I373)</f>
        <v/>
      </c>
      <c r="O373" s="108">
        <f>IF(L373&gt;=0,"Under","Over")</f>
        <v/>
      </c>
      <c r="P373" s="69">
        <f>IF(M373&lt;-0.05,"Watch","On Track")</f>
        <v/>
      </c>
    </row>
    <row r="374" ht="16" customHeight="1">
      <c r="A374" s="98" t="inlineStr">
        <is>
          <t>CC-00373</t>
        </is>
      </c>
      <c r="B374" s="99" t="inlineStr">
        <is>
          <t>EVT-2025-034</t>
        </is>
      </c>
      <c r="C374" s="100" t="inlineStr">
        <is>
          <t>Antivex Internal Meeting Lisbon Mar 2025</t>
        </is>
      </c>
      <c r="D374" s="100" t="inlineStr">
        <is>
          <t>Infectious Diseases</t>
        </is>
      </c>
      <c r="E374" s="100" t="inlineStr">
        <is>
          <t>BU Infectious Diseases</t>
        </is>
      </c>
      <c r="F374" s="99" t="inlineStr">
        <is>
          <t>Print &amp; Production</t>
        </is>
      </c>
      <c r="G374" s="99" t="inlineStr">
        <is>
          <t>Mar-2025</t>
        </is>
      </c>
      <c r="H374" s="99" t="inlineStr">
        <is>
          <t>Q1 2025</t>
        </is>
      </c>
      <c r="I374" s="101" t="n">
        <v>382.76</v>
      </c>
      <c r="J374" s="101" t="n">
        <v>362.15</v>
      </c>
      <c r="K374" s="101" t="n">
        <v>315.08</v>
      </c>
      <c r="L374" s="165">
        <f>I374-J374</f>
        <v/>
      </c>
      <c r="M374" s="166">
        <f>IF(I374=0,0,ROUND((I374-J374)/I374,4))</f>
        <v/>
      </c>
      <c r="N374" s="104">
        <f>IF(I374=0,0,J374/I374)</f>
        <v/>
      </c>
      <c r="O374" s="105">
        <f>IF(L374&gt;=0,"Under","Over")</f>
        <v/>
      </c>
      <c r="P374" s="69">
        <f>IF(M374&lt;-0.05,"Watch","On Track")</f>
        <v/>
      </c>
    </row>
    <row r="375" ht="16" customHeight="1">
      <c r="A375" s="106" t="inlineStr">
        <is>
          <t>CC-00374</t>
        </is>
      </c>
      <c r="B375" s="71" t="inlineStr">
        <is>
          <t>EVT-2025-034</t>
        </is>
      </c>
      <c r="C375" s="70" t="inlineStr">
        <is>
          <t>Antivex Internal Meeting Lisbon Mar 2025</t>
        </is>
      </c>
      <c r="D375" s="70" t="inlineStr">
        <is>
          <t>Infectious Diseases</t>
        </is>
      </c>
      <c r="E375" s="70" t="inlineStr">
        <is>
          <t>BU Infectious Diseases</t>
        </is>
      </c>
      <c r="F375" s="71" t="inlineStr">
        <is>
          <t>Miscellaneous</t>
        </is>
      </c>
      <c r="G375" s="71" t="inlineStr">
        <is>
          <t>Mar-2025</t>
        </is>
      </c>
      <c r="H375" s="71" t="inlineStr">
        <is>
          <t>Q1 2025</t>
        </is>
      </c>
      <c r="I375" s="73" t="n">
        <v>382.76</v>
      </c>
      <c r="J375" s="73" t="n">
        <v>281.54</v>
      </c>
      <c r="K375" s="73" t="n">
        <v>275.13</v>
      </c>
      <c r="L375" s="163">
        <f>I375-J375</f>
        <v/>
      </c>
      <c r="M375" s="161">
        <f>IF(I375=0,0,ROUND((I375-J375)/I375,4))</f>
        <v/>
      </c>
      <c r="N375" s="107">
        <f>IF(I375=0,0,J375/I375)</f>
        <v/>
      </c>
      <c r="O375" s="108">
        <f>IF(L375&gt;=0,"Under","Over")</f>
        <v/>
      </c>
      <c r="P375" s="69">
        <f>IF(M375&lt;-0.05,"Watch","On Track")</f>
        <v/>
      </c>
    </row>
    <row r="376" ht="16" customHeight="1">
      <c r="A376" s="98" t="inlineStr">
        <is>
          <t>CC-00375</t>
        </is>
      </c>
      <c r="B376" s="99" t="inlineStr">
        <is>
          <t>EVT-2025-035</t>
        </is>
      </c>
      <c r="C376" s="100" t="inlineStr">
        <is>
          <t>Cordavex Webinar Amsterdam Sep 2025</t>
        </is>
      </c>
      <c r="D376" s="100" t="inlineStr">
        <is>
          <t>Cardiology</t>
        </is>
      </c>
      <c r="E376" s="100" t="inlineStr">
        <is>
          <t>BU Cardiovascular</t>
        </is>
      </c>
      <c r="F376" s="99" t="inlineStr">
        <is>
          <t>Airfare</t>
        </is>
      </c>
      <c r="G376" s="99" t="inlineStr">
        <is>
          <t>Sep-2025</t>
        </is>
      </c>
      <c r="H376" s="99" t="inlineStr">
        <is>
          <t>Q3 2025</t>
        </is>
      </c>
      <c r="I376" s="101" t="n">
        <v>43402.67</v>
      </c>
      <c r="J376" s="101" t="n">
        <v>40894.62</v>
      </c>
      <c r="K376" s="101" t="n">
        <v>0</v>
      </c>
      <c r="L376" s="165">
        <f>I376-J376</f>
        <v/>
      </c>
      <c r="M376" s="166">
        <f>IF(I376=0,0,ROUND((I376-J376)/I376,4))</f>
        <v/>
      </c>
      <c r="N376" s="104">
        <f>IF(I376=0,0,J376/I376)</f>
        <v/>
      </c>
      <c r="O376" s="105">
        <f>IF(L376&gt;=0,"Under","Over")</f>
        <v/>
      </c>
      <c r="P376" s="69">
        <f>IF(M376&lt;-0.05,"Watch","On Track")</f>
        <v/>
      </c>
    </row>
    <row r="377" ht="16" customHeight="1">
      <c r="A377" s="106" t="inlineStr">
        <is>
          <t>CC-00376</t>
        </is>
      </c>
      <c r="B377" s="71" t="inlineStr">
        <is>
          <t>EVT-2025-035</t>
        </is>
      </c>
      <c r="C377" s="70" t="inlineStr">
        <is>
          <t>Cordavex Webinar Amsterdam Sep 2025</t>
        </is>
      </c>
      <c r="D377" s="70" t="inlineStr">
        <is>
          <t>Cardiology</t>
        </is>
      </c>
      <c r="E377" s="70" t="inlineStr">
        <is>
          <t>BU Cardiovascular</t>
        </is>
      </c>
      <c r="F377" s="71" t="inlineStr">
        <is>
          <t>Hotel</t>
        </is>
      </c>
      <c r="G377" s="71" t="inlineStr">
        <is>
          <t>Sep-2025</t>
        </is>
      </c>
      <c r="H377" s="71" t="inlineStr">
        <is>
          <t>Q3 2025</t>
        </is>
      </c>
      <c r="I377" s="73" t="n">
        <v>78124.8</v>
      </c>
      <c r="J377" s="73" t="n">
        <v>57826.92</v>
      </c>
      <c r="K377" s="73" t="n">
        <v>0</v>
      </c>
      <c r="L377" s="163">
        <f>I377-J377</f>
        <v/>
      </c>
      <c r="M377" s="161">
        <f>IF(I377=0,0,ROUND((I377-J377)/I377,4))</f>
        <v/>
      </c>
      <c r="N377" s="107">
        <f>IF(I377=0,0,J377/I377)</f>
        <v/>
      </c>
      <c r="O377" s="108">
        <f>IF(L377&gt;=0,"Under","Over")</f>
        <v/>
      </c>
      <c r="P377" s="69">
        <f>IF(M377&lt;-0.05,"Watch","On Track")</f>
        <v/>
      </c>
    </row>
    <row r="378" ht="16" customHeight="1">
      <c r="A378" s="98" t="inlineStr">
        <is>
          <t>CC-00377</t>
        </is>
      </c>
      <c r="B378" s="99" t="inlineStr">
        <is>
          <t>EVT-2025-035</t>
        </is>
      </c>
      <c r="C378" s="100" t="inlineStr">
        <is>
          <t>Cordavex Webinar Amsterdam Sep 2025</t>
        </is>
      </c>
      <c r="D378" s="100" t="inlineStr">
        <is>
          <t>Cardiology</t>
        </is>
      </c>
      <c r="E378" s="100" t="inlineStr">
        <is>
          <t>BU Cardiovascular</t>
        </is>
      </c>
      <c r="F378" s="99" t="inlineStr">
        <is>
          <t>Venue</t>
        </is>
      </c>
      <c r="G378" s="99" t="inlineStr">
        <is>
          <t>Sep-2025</t>
        </is>
      </c>
      <c r="H378" s="99" t="inlineStr">
        <is>
          <t>Q3 2025</t>
        </is>
      </c>
      <c r="I378" s="101" t="n">
        <v>65104</v>
      </c>
      <c r="J378" s="101" t="n">
        <v>56739.14</v>
      </c>
      <c r="K378" s="101" t="n">
        <v>0</v>
      </c>
      <c r="L378" s="165">
        <f>I378-J378</f>
        <v/>
      </c>
      <c r="M378" s="166">
        <f>IF(I378=0,0,ROUND((I378-J378)/I378,4))</f>
        <v/>
      </c>
      <c r="N378" s="104">
        <f>IF(I378=0,0,J378/I378)</f>
        <v/>
      </c>
      <c r="O378" s="105">
        <f>IF(L378&gt;=0,"Under","Over")</f>
        <v/>
      </c>
      <c r="P378" s="69">
        <f>IF(M378&lt;-0.05,"Watch","On Track")</f>
        <v/>
      </c>
    </row>
    <row r="379" ht="16" customHeight="1">
      <c r="A379" s="106" t="inlineStr">
        <is>
          <t>CC-00378</t>
        </is>
      </c>
      <c r="B379" s="71" t="inlineStr">
        <is>
          <t>EVT-2025-035</t>
        </is>
      </c>
      <c r="C379" s="70" t="inlineStr">
        <is>
          <t>Cordavex Webinar Amsterdam Sep 2025</t>
        </is>
      </c>
      <c r="D379" s="70" t="inlineStr">
        <is>
          <t>Cardiology</t>
        </is>
      </c>
      <c r="E379" s="70" t="inlineStr">
        <is>
          <t>BU Cardiovascular</t>
        </is>
      </c>
      <c r="F379" s="71" t="inlineStr">
        <is>
          <t>F&amp;B</t>
        </is>
      </c>
      <c r="G379" s="71" t="inlineStr">
        <is>
          <t>Sep-2025</t>
        </is>
      </c>
      <c r="H379" s="71" t="inlineStr">
        <is>
          <t>Q3 2025</t>
        </is>
      </c>
      <c r="I379" s="73" t="n">
        <v>52083.2</v>
      </c>
      <c r="J379" s="73" t="n">
        <v>48388.14</v>
      </c>
      <c r="K379" s="73" t="n">
        <v>0</v>
      </c>
      <c r="L379" s="163">
        <f>I379-J379</f>
        <v/>
      </c>
      <c r="M379" s="161">
        <f>IF(I379=0,0,ROUND((I379-J379)/I379,4))</f>
        <v/>
      </c>
      <c r="N379" s="107">
        <f>IF(I379=0,0,J379/I379)</f>
        <v/>
      </c>
      <c r="O379" s="108">
        <f>IF(L379&gt;=0,"Under","Over")</f>
        <v/>
      </c>
      <c r="P379" s="69">
        <f>IF(M379&lt;-0.05,"Watch","On Track")</f>
        <v/>
      </c>
    </row>
    <row r="380" ht="16" customHeight="1">
      <c r="A380" s="98" t="inlineStr">
        <is>
          <t>CC-00379</t>
        </is>
      </c>
      <c r="B380" s="99" t="inlineStr">
        <is>
          <t>EVT-2025-035</t>
        </is>
      </c>
      <c r="C380" s="100" t="inlineStr">
        <is>
          <t>Cordavex Webinar Amsterdam Sep 2025</t>
        </is>
      </c>
      <c r="D380" s="100" t="inlineStr">
        <is>
          <t>Cardiology</t>
        </is>
      </c>
      <c r="E380" s="100" t="inlineStr">
        <is>
          <t>BU Cardiovascular</t>
        </is>
      </c>
      <c r="F380" s="99" t="inlineStr">
        <is>
          <t>Logistics</t>
        </is>
      </c>
      <c r="G380" s="99" t="inlineStr">
        <is>
          <t>Sep-2025</t>
        </is>
      </c>
      <c r="H380" s="99" t="inlineStr">
        <is>
          <t>Q3 2025</t>
        </is>
      </c>
      <c r="I380" s="101" t="n">
        <v>26041.6</v>
      </c>
      <c r="J380" s="101" t="n">
        <v>17960.3</v>
      </c>
      <c r="K380" s="101" t="n">
        <v>0</v>
      </c>
      <c r="L380" s="165">
        <f>I380-J380</f>
        <v/>
      </c>
      <c r="M380" s="166">
        <f>IF(I380=0,0,ROUND((I380-J380)/I380,4))</f>
        <v/>
      </c>
      <c r="N380" s="104">
        <f>IF(I380=0,0,J380/I380)</f>
        <v/>
      </c>
      <c r="O380" s="105">
        <f>IF(L380&gt;=0,"Under","Over")</f>
        <v/>
      </c>
      <c r="P380" s="69">
        <f>IF(M380&lt;-0.05,"Watch","On Track")</f>
        <v/>
      </c>
    </row>
    <row r="381" ht="16" customHeight="1">
      <c r="A381" s="106" t="inlineStr">
        <is>
          <t>CC-00380</t>
        </is>
      </c>
      <c r="B381" s="71" t="inlineStr">
        <is>
          <t>EVT-2025-035</t>
        </is>
      </c>
      <c r="C381" s="70" t="inlineStr">
        <is>
          <t>Cordavex Webinar Amsterdam Sep 2025</t>
        </is>
      </c>
      <c r="D381" s="70" t="inlineStr">
        <is>
          <t>Cardiology</t>
        </is>
      </c>
      <c r="E381" s="70" t="inlineStr">
        <is>
          <t>BU Cardiovascular</t>
        </is>
      </c>
      <c r="F381" s="71" t="inlineStr">
        <is>
          <t>AV &amp; Technology</t>
        </is>
      </c>
      <c r="G381" s="71" t="inlineStr">
        <is>
          <t>Sep-2025</t>
        </is>
      </c>
      <c r="H381" s="71" t="inlineStr">
        <is>
          <t>Q3 2025</t>
        </is>
      </c>
      <c r="I381" s="73" t="n">
        <v>34722.13</v>
      </c>
      <c r="J381" s="73" t="n">
        <v>35597.61</v>
      </c>
      <c r="K381" s="73" t="n">
        <v>0</v>
      </c>
      <c r="L381" s="158">
        <f>I381-J381</f>
        <v/>
      </c>
      <c r="M381" s="161">
        <f>IF(I381=0,0,ROUND((I381-J381)/I381,4))</f>
        <v/>
      </c>
      <c r="N381" s="107">
        <f>IF(I381=0,0,J381/I381)</f>
        <v/>
      </c>
      <c r="O381" s="112">
        <f>IF(L381&gt;=0,"Under","Over")</f>
        <v/>
      </c>
      <c r="P381" s="69">
        <f>IF(M381&lt;-0.05,"Watch","On Track")</f>
        <v/>
      </c>
    </row>
    <row r="382" ht="16" customHeight="1">
      <c r="A382" s="98" t="inlineStr">
        <is>
          <t>CC-00381</t>
        </is>
      </c>
      <c r="B382" s="99" t="inlineStr">
        <is>
          <t>EVT-2025-035</t>
        </is>
      </c>
      <c r="C382" s="100" t="inlineStr">
        <is>
          <t>Cordavex Webinar Amsterdam Sep 2025</t>
        </is>
      </c>
      <c r="D382" s="100" t="inlineStr">
        <is>
          <t>Cardiology</t>
        </is>
      </c>
      <c r="E382" s="100" t="inlineStr">
        <is>
          <t>BU Cardiovascular</t>
        </is>
      </c>
      <c r="F382" s="99" t="inlineStr">
        <is>
          <t>Agency Fees</t>
        </is>
      </c>
      <c r="G382" s="99" t="inlineStr">
        <is>
          <t>Sep-2025</t>
        </is>
      </c>
      <c r="H382" s="99" t="inlineStr">
        <is>
          <t>Q3 2025</t>
        </is>
      </c>
      <c r="I382" s="101" t="n">
        <v>60763.73</v>
      </c>
      <c r="J382" s="101" t="n">
        <v>36933.96</v>
      </c>
      <c r="K382" s="101" t="n">
        <v>0</v>
      </c>
      <c r="L382" s="165">
        <f>I382-J382</f>
        <v/>
      </c>
      <c r="M382" s="166">
        <f>IF(I382=0,0,ROUND((I382-J382)/I382,4))</f>
        <v/>
      </c>
      <c r="N382" s="104">
        <f>IF(I382=0,0,J382/I382)</f>
        <v/>
      </c>
      <c r="O382" s="105">
        <f>IF(L382&gt;=0,"Under","Over")</f>
        <v/>
      </c>
      <c r="P382" s="69">
        <f>IF(M382&lt;-0.05,"Watch","On Track")</f>
        <v/>
      </c>
    </row>
    <row r="383" ht="16" customHeight="1">
      <c r="A383" s="106" t="inlineStr">
        <is>
          <t>CC-00382</t>
        </is>
      </c>
      <c r="B383" s="71" t="inlineStr">
        <is>
          <t>EVT-2025-035</t>
        </is>
      </c>
      <c r="C383" s="70" t="inlineStr">
        <is>
          <t>Cordavex Webinar Amsterdam Sep 2025</t>
        </is>
      </c>
      <c r="D383" s="70" t="inlineStr">
        <is>
          <t>Cardiology</t>
        </is>
      </c>
      <c r="E383" s="70" t="inlineStr">
        <is>
          <t>BU Cardiovascular</t>
        </is>
      </c>
      <c r="F383" s="71" t="inlineStr">
        <is>
          <t>Speaker Fees</t>
        </is>
      </c>
      <c r="G383" s="71" t="inlineStr">
        <is>
          <t>Sep-2025</t>
        </is>
      </c>
      <c r="H383" s="71" t="inlineStr">
        <is>
          <t>Q3 2025</t>
        </is>
      </c>
      <c r="I383" s="73" t="n">
        <v>43402.67</v>
      </c>
      <c r="J383" s="73" t="n">
        <v>30537.21</v>
      </c>
      <c r="K383" s="73" t="n">
        <v>0</v>
      </c>
      <c r="L383" s="163">
        <f>I383-J383</f>
        <v/>
      </c>
      <c r="M383" s="161">
        <f>IF(I383=0,0,ROUND((I383-J383)/I383,4))</f>
        <v/>
      </c>
      <c r="N383" s="107">
        <f>IF(I383=0,0,J383/I383)</f>
        <v/>
      </c>
      <c r="O383" s="108">
        <f>IF(L383&gt;=0,"Under","Over")</f>
        <v/>
      </c>
      <c r="P383" s="69">
        <f>IF(M383&lt;-0.05,"Watch","On Track")</f>
        <v/>
      </c>
    </row>
    <row r="384" ht="16" customHeight="1">
      <c r="A384" s="98" t="inlineStr">
        <is>
          <t>CC-00383</t>
        </is>
      </c>
      <c r="B384" s="99" t="inlineStr">
        <is>
          <t>EVT-2025-035</t>
        </is>
      </c>
      <c r="C384" s="100" t="inlineStr">
        <is>
          <t>Cordavex Webinar Amsterdam Sep 2025</t>
        </is>
      </c>
      <c r="D384" s="100" t="inlineStr">
        <is>
          <t>Cardiology</t>
        </is>
      </c>
      <c r="E384" s="100" t="inlineStr">
        <is>
          <t>BU Cardiovascular</t>
        </is>
      </c>
      <c r="F384" s="99" t="inlineStr">
        <is>
          <t>Translation</t>
        </is>
      </c>
      <c r="G384" s="99" t="inlineStr">
        <is>
          <t>Sep-2025</t>
        </is>
      </c>
      <c r="H384" s="99" t="inlineStr">
        <is>
          <t>Q3 2025</t>
        </is>
      </c>
      <c r="I384" s="101" t="n">
        <v>13020.8</v>
      </c>
      <c r="J384" s="101" t="n">
        <v>8751.219999999999</v>
      </c>
      <c r="K384" s="101" t="n">
        <v>0</v>
      </c>
      <c r="L384" s="165">
        <f>I384-J384</f>
        <v/>
      </c>
      <c r="M384" s="166">
        <f>IF(I384=0,0,ROUND((I384-J384)/I384,4))</f>
        <v/>
      </c>
      <c r="N384" s="104">
        <f>IF(I384=0,0,J384/I384)</f>
        <v/>
      </c>
      <c r="O384" s="105">
        <f>IF(L384&gt;=0,"Under","Over")</f>
        <v/>
      </c>
      <c r="P384" s="69">
        <f>IF(M384&lt;-0.05,"Watch","On Track")</f>
        <v/>
      </c>
    </row>
    <row r="385" ht="16" customHeight="1">
      <c r="A385" s="106" t="inlineStr">
        <is>
          <t>CC-00384</t>
        </is>
      </c>
      <c r="B385" s="71" t="inlineStr">
        <is>
          <t>EVT-2025-035</t>
        </is>
      </c>
      <c r="C385" s="70" t="inlineStr">
        <is>
          <t>Cordavex Webinar Amsterdam Sep 2025</t>
        </is>
      </c>
      <c r="D385" s="70" t="inlineStr">
        <is>
          <t>Cardiology</t>
        </is>
      </c>
      <c r="E385" s="70" t="inlineStr">
        <is>
          <t>BU Cardiovascular</t>
        </is>
      </c>
      <c r="F385" s="71" t="inlineStr">
        <is>
          <t>Print &amp; Production</t>
        </is>
      </c>
      <c r="G385" s="71" t="inlineStr">
        <is>
          <t>Sep-2025</t>
        </is>
      </c>
      <c r="H385" s="71" t="inlineStr">
        <is>
          <t>Q3 2025</t>
        </is>
      </c>
      <c r="I385" s="73" t="n">
        <v>8680.530000000001</v>
      </c>
      <c r="J385" s="73" t="n">
        <v>8770.33</v>
      </c>
      <c r="K385" s="73" t="n">
        <v>0</v>
      </c>
      <c r="L385" s="158">
        <f>I385-J385</f>
        <v/>
      </c>
      <c r="M385" s="161">
        <f>IF(I385=0,0,ROUND((I385-J385)/I385,4))</f>
        <v/>
      </c>
      <c r="N385" s="107">
        <f>IF(I385=0,0,J385/I385)</f>
        <v/>
      </c>
      <c r="O385" s="112">
        <f>IF(L385&gt;=0,"Under","Over")</f>
        <v/>
      </c>
      <c r="P385" s="69">
        <f>IF(M385&lt;-0.05,"Watch","On Track")</f>
        <v/>
      </c>
    </row>
    <row r="386" ht="16" customHeight="1">
      <c r="A386" s="98" t="inlineStr">
        <is>
          <t>CC-00385</t>
        </is>
      </c>
      <c r="B386" s="99" t="inlineStr">
        <is>
          <t>EVT-2025-035</t>
        </is>
      </c>
      <c r="C386" s="100" t="inlineStr">
        <is>
          <t>Cordavex Webinar Amsterdam Sep 2025</t>
        </is>
      </c>
      <c r="D386" s="100" t="inlineStr">
        <is>
          <t>Cardiology</t>
        </is>
      </c>
      <c r="E386" s="100" t="inlineStr">
        <is>
          <t>BU Cardiovascular</t>
        </is>
      </c>
      <c r="F386" s="99" t="inlineStr">
        <is>
          <t>Miscellaneous</t>
        </is>
      </c>
      <c r="G386" s="99" t="inlineStr">
        <is>
          <t>Sep-2025</t>
        </is>
      </c>
      <c r="H386" s="99" t="inlineStr">
        <is>
          <t>Q3 2025</t>
        </is>
      </c>
      <c r="I386" s="101" t="n">
        <v>8680.530000000001</v>
      </c>
      <c r="J386" s="101" t="n">
        <v>8771.25</v>
      </c>
      <c r="K386" s="101" t="n">
        <v>0</v>
      </c>
      <c r="L386" s="167">
        <f>I386-J386</f>
        <v/>
      </c>
      <c r="M386" s="166">
        <f>IF(I386=0,0,ROUND((I386-J386)/I386,4))</f>
        <v/>
      </c>
      <c r="N386" s="104">
        <f>IF(I386=0,0,J386/I386)</f>
        <v/>
      </c>
      <c r="O386" s="111">
        <f>IF(L386&gt;=0,"Under","Over")</f>
        <v/>
      </c>
      <c r="P386" s="69">
        <f>IF(M386&lt;-0.05,"Watch","On Track")</f>
        <v/>
      </c>
    </row>
    <row r="387" ht="16" customHeight="1">
      <c r="A387" s="106" t="inlineStr">
        <is>
          <t>CC-00386</t>
        </is>
      </c>
      <c r="B387" s="71" t="inlineStr">
        <is>
          <t>EVT-2025-036</t>
        </is>
      </c>
      <c r="C387" s="70" t="inlineStr">
        <is>
          <t>Bioflair Internal Meeting Milan Aug 2025</t>
        </is>
      </c>
      <c r="D387" s="70" t="inlineStr">
        <is>
          <t>Immunology</t>
        </is>
      </c>
      <c r="E387" s="70" t="inlineStr">
        <is>
          <t>BU Immunology</t>
        </is>
      </c>
      <c r="F387" s="71" t="inlineStr">
        <is>
          <t>Airfare</t>
        </is>
      </c>
      <c r="G387" s="71" t="inlineStr">
        <is>
          <t>Aug-2025</t>
        </is>
      </c>
      <c r="H387" s="71" t="inlineStr">
        <is>
          <t>Q3 2025</t>
        </is>
      </c>
      <c r="I387" s="73" t="n">
        <v>25064.12</v>
      </c>
      <c r="J387" s="73" t="n">
        <v>26679.19</v>
      </c>
      <c r="K387" s="73" t="n">
        <v>21070.77</v>
      </c>
      <c r="L387" s="158">
        <f>I387-J387</f>
        <v/>
      </c>
      <c r="M387" s="159">
        <f>IF(I387=0,0,ROUND((I387-J387)/I387,4))</f>
        <v/>
      </c>
      <c r="N387" s="107">
        <f>IF(I387=0,0,J387/I387)</f>
        <v/>
      </c>
      <c r="O387" s="112">
        <f>IF(L387&gt;=0,"Under","Over")</f>
        <v/>
      </c>
      <c r="P387" s="76">
        <f>IF(M387&lt;-0.05,"Watch","On Track")</f>
        <v/>
      </c>
    </row>
    <row r="388" ht="16" customHeight="1">
      <c r="A388" s="98" t="inlineStr">
        <is>
          <t>CC-00387</t>
        </is>
      </c>
      <c r="B388" s="99" t="inlineStr">
        <is>
          <t>EVT-2025-036</t>
        </is>
      </c>
      <c r="C388" s="100" t="inlineStr">
        <is>
          <t>Bioflair Internal Meeting Milan Aug 2025</t>
        </is>
      </c>
      <c r="D388" s="100" t="inlineStr">
        <is>
          <t>Immunology</t>
        </is>
      </c>
      <c r="E388" s="100" t="inlineStr">
        <is>
          <t>BU Immunology</t>
        </is>
      </c>
      <c r="F388" s="99" t="inlineStr">
        <is>
          <t>Hotel</t>
        </is>
      </c>
      <c r="G388" s="99" t="inlineStr">
        <is>
          <t>Aug-2025</t>
        </is>
      </c>
      <c r="H388" s="99" t="inlineStr">
        <is>
          <t>Q3 2025</t>
        </is>
      </c>
      <c r="I388" s="101" t="n">
        <v>45115.42</v>
      </c>
      <c r="J388" s="101" t="n">
        <v>39790.86</v>
      </c>
      <c r="K388" s="101" t="n">
        <v>34618.4</v>
      </c>
      <c r="L388" s="165">
        <f>I388-J388</f>
        <v/>
      </c>
      <c r="M388" s="166">
        <f>IF(I388=0,0,ROUND((I388-J388)/I388,4))</f>
        <v/>
      </c>
      <c r="N388" s="104">
        <f>IF(I388=0,0,J388/I388)</f>
        <v/>
      </c>
      <c r="O388" s="105">
        <f>IF(L388&gt;=0,"Under","Over")</f>
        <v/>
      </c>
      <c r="P388" s="69">
        <f>IF(M388&lt;-0.05,"Watch","On Track")</f>
        <v/>
      </c>
    </row>
    <row r="389" ht="16" customHeight="1">
      <c r="A389" s="106" t="inlineStr">
        <is>
          <t>CC-00388</t>
        </is>
      </c>
      <c r="B389" s="71" t="inlineStr">
        <is>
          <t>EVT-2025-036</t>
        </is>
      </c>
      <c r="C389" s="70" t="inlineStr">
        <is>
          <t>Bioflair Internal Meeting Milan Aug 2025</t>
        </is>
      </c>
      <c r="D389" s="70" t="inlineStr">
        <is>
          <t>Immunology</t>
        </is>
      </c>
      <c r="E389" s="70" t="inlineStr">
        <is>
          <t>BU Immunology</t>
        </is>
      </c>
      <c r="F389" s="71" t="inlineStr">
        <is>
          <t>Venue</t>
        </is>
      </c>
      <c r="G389" s="71" t="inlineStr">
        <is>
          <t>Aug-2025</t>
        </is>
      </c>
      <c r="H389" s="71" t="inlineStr">
        <is>
          <t>Q3 2025</t>
        </is>
      </c>
      <c r="I389" s="73" t="n">
        <v>37596.18</v>
      </c>
      <c r="J389" s="73" t="n">
        <v>38525.6</v>
      </c>
      <c r="K389" s="73" t="n">
        <v>34792.87</v>
      </c>
      <c r="L389" s="158">
        <f>I389-J389</f>
        <v/>
      </c>
      <c r="M389" s="161">
        <f>IF(I389=0,0,ROUND((I389-J389)/I389,4))</f>
        <v/>
      </c>
      <c r="N389" s="107">
        <f>IF(I389=0,0,J389/I389)</f>
        <v/>
      </c>
      <c r="O389" s="112">
        <f>IF(L389&gt;=0,"Under","Over")</f>
        <v/>
      </c>
      <c r="P389" s="69">
        <f>IF(M389&lt;-0.05,"Watch","On Track")</f>
        <v/>
      </c>
    </row>
    <row r="390" ht="16" customHeight="1">
      <c r="A390" s="98" t="inlineStr">
        <is>
          <t>CC-00389</t>
        </is>
      </c>
      <c r="B390" s="99" t="inlineStr">
        <is>
          <t>EVT-2025-036</t>
        </is>
      </c>
      <c r="C390" s="100" t="inlineStr">
        <is>
          <t>Bioflair Internal Meeting Milan Aug 2025</t>
        </is>
      </c>
      <c r="D390" s="100" t="inlineStr">
        <is>
          <t>Immunology</t>
        </is>
      </c>
      <c r="E390" s="100" t="inlineStr">
        <is>
          <t>BU Immunology</t>
        </is>
      </c>
      <c r="F390" s="99" t="inlineStr">
        <is>
          <t>F&amp;B</t>
        </is>
      </c>
      <c r="G390" s="99" t="inlineStr">
        <is>
          <t>Aug-2025</t>
        </is>
      </c>
      <c r="H390" s="99" t="inlineStr">
        <is>
          <t>Q3 2025</t>
        </is>
      </c>
      <c r="I390" s="101" t="n">
        <v>30076.95</v>
      </c>
      <c r="J390" s="101" t="n">
        <v>26175.4</v>
      </c>
      <c r="K390" s="101" t="n">
        <v>21336.98</v>
      </c>
      <c r="L390" s="165">
        <f>I390-J390</f>
        <v/>
      </c>
      <c r="M390" s="166">
        <f>IF(I390=0,0,ROUND((I390-J390)/I390,4))</f>
        <v/>
      </c>
      <c r="N390" s="104">
        <f>IF(I390=0,0,J390/I390)</f>
        <v/>
      </c>
      <c r="O390" s="105">
        <f>IF(L390&gt;=0,"Under","Over")</f>
        <v/>
      </c>
      <c r="P390" s="69">
        <f>IF(M390&lt;-0.05,"Watch","On Track")</f>
        <v/>
      </c>
    </row>
    <row r="391" ht="16" customHeight="1">
      <c r="A391" s="106" t="inlineStr">
        <is>
          <t>CC-00390</t>
        </is>
      </c>
      <c r="B391" s="71" t="inlineStr">
        <is>
          <t>EVT-2025-036</t>
        </is>
      </c>
      <c r="C391" s="70" t="inlineStr">
        <is>
          <t>Bioflair Internal Meeting Milan Aug 2025</t>
        </is>
      </c>
      <c r="D391" s="70" t="inlineStr">
        <is>
          <t>Immunology</t>
        </is>
      </c>
      <c r="E391" s="70" t="inlineStr">
        <is>
          <t>BU Immunology</t>
        </is>
      </c>
      <c r="F391" s="71" t="inlineStr">
        <is>
          <t>Logistics</t>
        </is>
      </c>
      <c r="G391" s="71" t="inlineStr">
        <is>
          <t>Aug-2025</t>
        </is>
      </c>
      <c r="H391" s="71" t="inlineStr">
        <is>
          <t>Q3 2025</t>
        </is>
      </c>
      <c r="I391" s="73" t="n">
        <v>15038.47</v>
      </c>
      <c r="J391" s="73" t="n">
        <v>14585.4</v>
      </c>
      <c r="K391" s="73" t="n">
        <v>13668.7</v>
      </c>
      <c r="L391" s="163">
        <f>I391-J391</f>
        <v/>
      </c>
      <c r="M391" s="161">
        <f>IF(I391=0,0,ROUND((I391-J391)/I391,4))</f>
        <v/>
      </c>
      <c r="N391" s="107">
        <f>IF(I391=0,0,J391/I391)</f>
        <v/>
      </c>
      <c r="O391" s="108">
        <f>IF(L391&gt;=0,"Under","Over")</f>
        <v/>
      </c>
      <c r="P391" s="69">
        <f>IF(M391&lt;-0.05,"Watch","On Track")</f>
        <v/>
      </c>
    </row>
    <row r="392" ht="16" customHeight="1">
      <c r="A392" s="98" t="inlineStr">
        <is>
          <t>CC-00391</t>
        </is>
      </c>
      <c r="B392" s="99" t="inlineStr">
        <is>
          <t>EVT-2025-036</t>
        </is>
      </c>
      <c r="C392" s="100" t="inlineStr">
        <is>
          <t>Bioflair Internal Meeting Milan Aug 2025</t>
        </is>
      </c>
      <c r="D392" s="100" t="inlineStr">
        <is>
          <t>Immunology</t>
        </is>
      </c>
      <c r="E392" s="100" t="inlineStr">
        <is>
          <t>BU Immunology</t>
        </is>
      </c>
      <c r="F392" s="99" t="inlineStr">
        <is>
          <t>AV &amp; Technology</t>
        </is>
      </c>
      <c r="G392" s="99" t="inlineStr">
        <is>
          <t>Aug-2025</t>
        </is>
      </c>
      <c r="H392" s="99" t="inlineStr">
        <is>
          <t>Q3 2025</t>
        </is>
      </c>
      <c r="I392" s="101" t="n">
        <v>20051.3</v>
      </c>
      <c r="J392" s="101" t="n">
        <v>18941.57</v>
      </c>
      <c r="K392" s="101" t="n">
        <v>13704.76</v>
      </c>
      <c r="L392" s="165">
        <f>I392-J392</f>
        <v/>
      </c>
      <c r="M392" s="166">
        <f>IF(I392=0,0,ROUND((I392-J392)/I392,4))</f>
        <v/>
      </c>
      <c r="N392" s="104">
        <f>IF(I392=0,0,J392/I392)</f>
        <v/>
      </c>
      <c r="O392" s="105">
        <f>IF(L392&gt;=0,"Under","Over")</f>
        <v/>
      </c>
      <c r="P392" s="69">
        <f>IF(M392&lt;-0.05,"Watch","On Track")</f>
        <v/>
      </c>
    </row>
    <row r="393" ht="16" customHeight="1">
      <c r="A393" s="106" t="inlineStr">
        <is>
          <t>CC-00392</t>
        </is>
      </c>
      <c r="B393" s="71" t="inlineStr">
        <is>
          <t>EVT-2025-036</t>
        </is>
      </c>
      <c r="C393" s="70" t="inlineStr">
        <is>
          <t>Bioflair Internal Meeting Milan Aug 2025</t>
        </is>
      </c>
      <c r="D393" s="70" t="inlineStr">
        <is>
          <t>Immunology</t>
        </is>
      </c>
      <c r="E393" s="70" t="inlineStr">
        <is>
          <t>BU Immunology</t>
        </is>
      </c>
      <c r="F393" s="71" t="inlineStr">
        <is>
          <t>Agency Fees</t>
        </is>
      </c>
      <c r="G393" s="71" t="inlineStr">
        <is>
          <t>Aug-2025</t>
        </is>
      </c>
      <c r="H393" s="71" t="inlineStr">
        <is>
          <t>Q3 2025</t>
        </is>
      </c>
      <c r="I393" s="73" t="n">
        <v>35089.77</v>
      </c>
      <c r="J393" s="73" t="n">
        <v>34132.81</v>
      </c>
      <c r="K393" s="73" t="n">
        <v>27434.51</v>
      </c>
      <c r="L393" s="163">
        <f>I393-J393</f>
        <v/>
      </c>
      <c r="M393" s="161">
        <f>IF(I393=0,0,ROUND((I393-J393)/I393,4))</f>
        <v/>
      </c>
      <c r="N393" s="107">
        <f>IF(I393=0,0,J393/I393)</f>
        <v/>
      </c>
      <c r="O393" s="108">
        <f>IF(L393&gt;=0,"Under","Over")</f>
        <v/>
      </c>
      <c r="P393" s="69">
        <f>IF(M393&lt;-0.05,"Watch","On Track")</f>
        <v/>
      </c>
    </row>
    <row r="394" ht="16" customHeight="1">
      <c r="A394" s="98" t="inlineStr">
        <is>
          <t>CC-00393</t>
        </is>
      </c>
      <c r="B394" s="99" t="inlineStr">
        <is>
          <t>EVT-2025-036</t>
        </is>
      </c>
      <c r="C394" s="100" t="inlineStr">
        <is>
          <t>Bioflair Internal Meeting Milan Aug 2025</t>
        </is>
      </c>
      <c r="D394" s="100" t="inlineStr">
        <is>
          <t>Immunology</t>
        </is>
      </c>
      <c r="E394" s="100" t="inlineStr">
        <is>
          <t>BU Immunology</t>
        </is>
      </c>
      <c r="F394" s="99" t="inlineStr">
        <is>
          <t>Speaker Fees</t>
        </is>
      </c>
      <c r="G394" s="99" t="inlineStr">
        <is>
          <t>Aug-2025</t>
        </is>
      </c>
      <c r="H394" s="99" t="inlineStr">
        <is>
          <t>Q3 2025</t>
        </is>
      </c>
      <c r="I394" s="101" t="n">
        <v>25064.12</v>
      </c>
      <c r="J394" s="101" t="n">
        <v>16262.68</v>
      </c>
      <c r="K394" s="101" t="n">
        <v>12516.46</v>
      </c>
      <c r="L394" s="165">
        <f>I394-J394</f>
        <v/>
      </c>
      <c r="M394" s="166">
        <f>IF(I394=0,0,ROUND((I394-J394)/I394,4))</f>
        <v/>
      </c>
      <c r="N394" s="104">
        <f>IF(I394=0,0,J394/I394)</f>
        <v/>
      </c>
      <c r="O394" s="105">
        <f>IF(L394&gt;=0,"Under","Over")</f>
        <v/>
      </c>
      <c r="P394" s="69">
        <f>IF(M394&lt;-0.05,"Watch","On Track")</f>
        <v/>
      </c>
    </row>
    <row r="395" ht="16" customHeight="1">
      <c r="A395" s="106" t="inlineStr">
        <is>
          <t>CC-00394</t>
        </is>
      </c>
      <c r="B395" s="71" t="inlineStr">
        <is>
          <t>EVT-2025-036</t>
        </is>
      </c>
      <c r="C395" s="70" t="inlineStr">
        <is>
          <t>Bioflair Internal Meeting Milan Aug 2025</t>
        </is>
      </c>
      <c r="D395" s="70" t="inlineStr">
        <is>
          <t>Immunology</t>
        </is>
      </c>
      <c r="E395" s="70" t="inlineStr">
        <is>
          <t>BU Immunology</t>
        </is>
      </c>
      <c r="F395" s="71" t="inlineStr">
        <is>
          <t>Translation</t>
        </is>
      </c>
      <c r="G395" s="71" t="inlineStr">
        <is>
          <t>Aug-2025</t>
        </is>
      </c>
      <c r="H395" s="71" t="inlineStr">
        <is>
          <t>Q3 2025</t>
        </is>
      </c>
      <c r="I395" s="73" t="n">
        <v>7519.24</v>
      </c>
      <c r="J395" s="73" t="n">
        <v>4797.34</v>
      </c>
      <c r="K395" s="73" t="n">
        <v>4229.1</v>
      </c>
      <c r="L395" s="163">
        <f>I395-J395</f>
        <v/>
      </c>
      <c r="M395" s="161">
        <f>IF(I395=0,0,ROUND((I395-J395)/I395,4))</f>
        <v/>
      </c>
      <c r="N395" s="107">
        <f>IF(I395=0,0,J395/I395)</f>
        <v/>
      </c>
      <c r="O395" s="108">
        <f>IF(L395&gt;=0,"Under","Over")</f>
        <v/>
      </c>
      <c r="P395" s="69">
        <f>IF(M395&lt;-0.05,"Watch","On Track")</f>
        <v/>
      </c>
    </row>
    <row r="396" ht="16" customHeight="1">
      <c r="A396" s="98" t="inlineStr">
        <is>
          <t>CC-00395</t>
        </is>
      </c>
      <c r="B396" s="99" t="inlineStr">
        <is>
          <t>EVT-2025-036</t>
        </is>
      </c>
      <c r="C396" s="100" t="inlineStr">
        <is>
          <t>Bioflair Internal Meeting Milan Aug 2025</t>
        </is>
      </c>
      <c r="D396" s="100" t="inlineStr">
        <is>
          <t>Immunology</t>
        </is>
      </c>
      <c r="E396" s="100" t="inlineStr">
        <is>
          <t>BU Immunology</t>
        </is>
      </c>
      <c r="F396" s="99" t="inlineStr">
        <is>
          <t>Print &amp; Production</t>
        </is>
      </c>
      <c r="G396" s="99" t="inlineStr">
        <is>
          <t>Aug-2025</t>
        </is>
      </c>
      <c r="H396" s="99" t="inlineStr">
        <is>
          <t>Q3 2025</t>
        </is>
      </c>
      <c r="I396" s="101" t="n">
        <v>5012.82</v>
      </c>
      <c r="J396" s="101" t="n">
        <v>4546.29</v>
      </c>
      <c r="K396" s="101" t="n">
        <v>3994.75</v>
      </c>
      <c r="L396" s="165">
        <f>I396-J396</f>
        <v/>
      </c>
      <c r="M396" s="166">
        <f>IF(I396=0,0,ROUND((I396-J396)/I396,4))</f>
        <v/>
      </c>
      <c r="N396" s="104">
        <f>IF(I396=0,0,J396/I396)</f>
        <v/>
      </c>
      <c r="O396" s="105">
        <f>IF(L396&gt;=0,"Under","Over")</f>
        <v/>
      </c>
      <c r="P396" s="69">
        <f>IF(M396&lt;-0.05,"Watch","On Track")</f>
        <v/>
      </c>
    </row>
    <row r="397" ht="16" customHeight="1">
      <c r="A397" s="106" t="inlineStr">
        <is>
          <t>CC-00396</t>
        </is>
      </c>
      <c r="B397" s="71" t="inlineStr">
        <is>
          <t>EVT-2025-036</t>
        </is>
      </c>
      <c r="C397" s="70" t="inlineStr">
        <is>
          <t>Bioflair Internal Meeting Milan Aug 2025</t>
        </is>
      </c>
      <c r="D397" s="70" t="inlineStr">
        <is>
          <t>Immunology</t>
        </is>
      </c>
      <c r="E397" s="70" t="inlineStr">
        <is>
          <t>BU Immunology</t>
        </is>
      </c>
      <c r="F397" s="71" t="inlineStr">
        <is>
          <t>Miscellaneous</t>
        </is>
      </c>
      <c r="G397" s="71" t="inlineStr">
        <is>
          <t>Aug-2025</t>
        </is>
      </c>
      <c r="H397" s="71" t="inlineStr">
        <is>
          <t>Q3 2025</t>
        </is>
      </c>
      <c r="I397" s="73" t="n">
        <v>5012.82</v>
      </c>
      <c r="J397" s="73" t="n">
        <v>5436.2</v>
      </c>
      <c r="K397" s="73" t="n">
        <v>4337.61</v>
      </c>
      <c r="L397" s="158">
        <f>I397-J397</f>
        <v/>
      </c>
      <c r="M397" s="159">
        <f>IF(I397=0,0,ROUND((I397-J397)/I397,4))</f>
        <v/>
      </c>
      <c r="N397" s="107">
        <f>IF(I397=0,0,J397/I397)</f>
        <v/>
      </c>
      <c r="O397" s="112">
        <f>IF(L397&gt;=0,"Under","Over")</f>
        <v/>
      </c>
      <c r="P397" s="76">
        <f>IF(M397&lt;-0.05,"Watch","On Track")</f>
        <v/>
      </c>
    </row>
    <row r="398" ht="16" customHeight="1">
      <c r="A398" s="98" t="inlineStr">
        <is>
          <t>CC-00397</t>
        </is>
      </c>
      <c r="B398" s="99" t="inlineStr">
        <is>
          <t>EVT-2025-037</t>
        </is>
      </c>
      <c r="C398" s="100" t="inlineStr">
        <is>
          <t>Orphavex Advisory Board Berlin May 2025</t>
        </is>
      </c>
      <c r="D398" s="100" t="inlineStr">
        <is>
          <t>Rare Diseases</t>
        </is>
      </c>
      <c r="E398" s="100" t="inlineStr">
        <is>
          <t>BU Rare Diseases</t>
        </is>
      </c>
      <c r="F398" s="99" t="inlineStr">
        <is>
          <t>Airfare</t>
        </is>
      </c>
      <c r="G398" s="99" t="inlineStr">
        <is>
          <t>May-2025</t>
        </is>
      </c>
      <c r="H398" s="99" t="inlineStr">
        <is>
          <t>Q2 2025</t>
        </is>
      </c>
      <c r="I398" s="101" t="n">
        <v>29348.88</v>
      </c>
      <c r="J398" s="101" t="n">
        <v>26914.73</v>
      </c>
      <c r="K398" s="101" t="n">
        <v>0</v>
      </c>
      <c r="L398" s="165">
        <f>I398-J398</f>
        <v/>
      </c>
      <c r="M398" s="166">
        <f>IF(I398=0,0,ROUND((I398-J398)/I398,4))</f>
        <v/>
      </c>
      <c r="N398" s="104">
        <f>IF(I398=0,0,J398/I398)</f>
        <v/>
      </c>
      <c r="O398" s="105">
        <f>IF(L398&gt;=0,"Under","Over")</f>
        <v/>
      </c>
      <c r="P398" s="69">
        <f>IF(M398&lt;-0.05,"Watch","On Track")</f>
        <v/>
      </c>
    </row>
    <row r="399" ht="16" customHeight="1">
      <c r="A399" s="106" t="inlineStr">
        <is>
          <t>CC-00398</t>
        </is>
      </c>
      <c r="B399" s="71" t="inlineStr">
        <is>
          <t>EVT-2025-037</t>
        </is>
      </c>
      <c r="C399" s="70" t="inlineStr">
        <is>
          <t>Orphavex Advisory Board Berlin May 2025</t>
        </is>
      </c>
      <c r="D399" s="70" t="inlineStr">
        <is>
          <t>Rare Diseases</t>
        </is>
      </c>
      <c r="E399" s="70" t="inlineStr">
        <is>
          <t>BU Rare Diseases</t>
        </is>
      </c>
      <c r="F399" s="71" t="inlineStr">
        <is>
          <t>Hotel</t>
        </is>
      </c>
      <c r="G399" s="71" t="inlineStr">
        <is>
          <t>May-2025</t>
        </is>
      </c>
      <c r="H399" s="71" t="inlineStr">
        <is>
          <t>Q2 2025</t>
        </is>
      </c>
      <c r="I399" s="73" t="n">
        <v>52827.98</v>
      </c>
      <c r="J399" s="73" t="n">
        <v>52393.42</v>
      </c>
      <c r="K399" s="73" t="n">
        <v>0</v>
      </c>
      <c r="L399" s="163">
        <f>I399-J399</f>
        <v/>
      </c>
      <c r="M399" s="161">
        <f>IF(I399=0,0,ROUND((I399-J399)/I399,4))</f>
        <v/>
      </c>
      <c r="N399" s="107">
        <f>IF(I399=0,0,J399/I399)</f>
        <v/>
      </c>
      <c r="O399" s="108">
        <f>IF(L399&gt;=0,"Under","Over")</f>
        <v/>
      </c>
      <c r="P399" s="69">
        <f>IF(M399&lt;-0.05,"Watch","On Track")</f>
        <v/>
      </c>
    </row>
    <row r="400" ht="16" customHeight="1">
      <c r="A400" s="98" t="inlineStr">
        <is>
          <t>CC-00399</t>
        </is>
      </c>
      <c r="B400" s="99" t="inlineStr">
        <is>
          <t>EVT-2025-037</t>
        </is>
      </c>
      <c r="C400" s="100" t="inlineStr">
        <is>
          <t>Orphavex Advisory Board Berlin May 2025</t>
        </is>
      </c>
      <c r="D400" s="100" t="inlineStr">
        <is>
          <t>Rare Diseases</t>
        </is>
      </c>
      <c r="E400" s="100" t="inlineStr">
        <is>
          <t>BU Rare Diseases</t>
        </is>
      </c>
      <c r="F400" s="99" t="inlineStr">
        <is>
          <t>Venue</t>
        </is>
      </c>
      <c r="G400" s="99" t="inlineStr">
        <is>
          <t>May-2025</t>
        </is>
      </c>
      <c r="H400" s="99" t="inlineStr">
        <is>
          <t>Q2 2025</t>
        </is>
      </c>
      <c r="I400" s="101" t="n">
        <v>44023.32</v>
      </c>
      <c r="J400" s="101" t="n">
        <v>36331.35</v>
      </c>
      <c r="K400" s="101" t="n">
        <v>0</v>
      </c>
      <c r="L400" s="165">
        <f>I400-J400</f>
        <v/>
      </c>
      <c r="M400" s="166">
        <f>IF(I400=0,0,ROUND((I400-J400)/I400,4))</f>
        <v/>
      </c>
      <c r="N400" s="104">
        <f>IF(I400=0,0,J400/I400)</f>
        <v/>
      </c>
      <c r="O400" s="105">
        <f>IF(L400&gt;=0,"Under","Over")</f>
        <v/>
      </c>
      <c r="P400" s="69">
        <f>IF(M400&lt;-0.05,"Watch","On Track")</f>
        <v/>
      </c>
    </row>
    <row r="401" ht="16" customHeight="1">
      <c r="A401" s="106" t="inlineStr">
        <is>
          <t>CC-00400</t>
        </is>
      </c>
      <c r="B401" s="71" t="inlineStr">
        <is>
          <t>EVT-2025-037</t>
        </is>
      </c>
      <c r="C401" s="70" t="inlineStr">
        <is>
          <t>Orphavex Advisory Board Berlin May 2025</t>
        </is>
      </c>
      <c r="D401" s="70" t="inlineStr">
        <is>
          <t>Rare Diseases</t>
        </is>
      </c>
      <c r="E401" s="70" t="inlineStr">
        <is>
          <t>BU Rare Diseases</t>
        </is>
      </c>
      <c r="F401" s="71" t="inlineStr">
        <is>
          <t>F&amp;B</t>
        </is>
      </c>
      <c r="G401" s="71" t="inlineStr">
        <is>
          <t>May-2025</t>
        </is>
      </c>
      <c r="H401" s="71" t="inlineStr">
        <is>
          <t>Q2 2025</t>
        </is>
      </c>
      <c r="I401" s="73" t="n">
        <v>35218.65</v>
      </c>
      <c r="J401" s="73" t="n">
        <v>25148.55</v>
      </c>
      <c r="K401" s="73" t="n">
        <v>0</v>
      </c>
      <c r="L401" s="163">
        <f>I401-J401</f>
        <v/>
      </c>
      <c r="M401" s="161">
        <f>IF(I401=0,0,ROUND((I401-J401)/I401,4))</f>
        <v/>
      </c>
      <c r="N401" s="107">
        <f>IF(I401=0,0,J401/I401)</f>
        <v/>
      </c>
      <c r="O401" s="108">
        <f>IF(L401&gt;=0,"Under","Over")</f>
        <v/>
      </c>
      <c r="P401" s="69">
        <f>IF(M401&lt;-0.05,"Watch","On Track")</f>
        <v/>
      </c>
    </row>
    <row r="402" ht="16" customHeight="1">
      <c r="A402" s="98" t="inlineStr">
        <is>
          <t>CC-00401</t>
        </is>
      </c>
      <c r="B402" s="99" t="inlineStr">
        <is>
          <t>EVT-2025-037</t>
        </is>
      </c>
      <c r="C402" s="100" t="inlineStr">
        <is>
          <t>Orphavex Advisory Board Berlin May 2025</t>
        </is>
      </c>
      <c r="D402" s="100" t="inlineStr">
        <is>
          <t>Rare Diseases</t>
        </is>
      </c>
      <c r="E402" s="100" t="inlineStr">
        <is>
          <t>BU Rare Diseases</t>
        </is>
      </c>
      <c r="F402" s="99" t="inlineStr">
        <is>
          <t>Logistics</t>
        </is>
      </c>
      <c r="G402" s="99" t="inlineStr">
        <is>
          <t>May-2025</t>
        </is>
      </c>
      <c r="H402" s="99" t="inlineStr">
        <is>
          <t>Q2 2025</t>
        </is>
      </c>
      <c r="I402" s="101" t="n">
        <v>17609.33</v>
      </c>
      <c r="J402" s="101" t="n">
        <v>15434.91</v>
      </c>
      <c r="K402" s="101" t="n">
        <v>0</v>
      </c>
      <c r="L402" s="165">
        <f>I402-J402</f>
        <v/>
      </c>
      <c r="M402" s="166">
        <f>IF(I402=0,0,ROUND((I402-J402)/I402,4))</f>
        <v/>
      </c>
      <c r="N402" s="104">
        <f>IF(I402=0,0,J402/I402)</f>
        <v/>
      </c>
      <c r="O402" s="105">
        <f>IF(L402&gt;=0,"Under","Over")</f>
        <v/>
      </c>
      <c r="P402" s="69">
        <f>IF(M402&lt;-0.05,"Watch","On Track")</f>
        <v/>
      </c>
    </row>
    <row r="403" ht="16" customHeight="1">
      <c r="A403" s="106" t="inlineStr">
        <is>
          <t>CC-00402</t>
        </is>
      </c>
      <c r="B403" s="71" t="inlineStr">
        <is>
          <t>EVT-2025-037</t>
        </is>
      </c>
      <c r="C403" s="70" t="inlineStr">
        <is>
          <t>Orphavex Advisory Board Berlin May 2025</t>
        </is>
      </c>
      <c r="D403" s="70" t="inlineStr">
        <is>
          <t>Rare Diseases</t>
        </is>
      </c>
      <c r="E403" s="70" t="inlineStr">
        <is>
          <t>BU Rare Diseases</t>
        </is>
      </c>
      <c r="F403" s="71" t="inlineStr">
        <is>
          <t>AV &amp; Technology</t>
        </is>
      </c>
      <c r="G403" s="71" t="inlineStr">
        <is>
          <t>May-2025</t>
        </is>
      </c>
      <c r="H403" s="71" t="inlineStr">
        <is>
          <t>Q2 2025</t>
        </is>
      </c>
      <c r="I403" s="73" t="n">
        <v>23479.1</v>
      </c>
      <c r="J403" s="73" t="n">
        <v>18494.8</v>
      </c>
      <c r="K403" s="73" t="n">
        <v>0</v>
      </c>
      <c r="L403" s="163">
        <f>I403-J403</f>
        <v/>
      </c>
      <c r="M403" s="161">
        <f>IF(I403=0,0,ROUND((I403-J403)/I403,4))</f>
        <v/>
      </c>
      <c r="N403" s="107">
        <f>IF(I403=0,0,J403/I403)</f>
        <v/>
      </c>
      <c r="O403" s="108">
        <f>IF(L403&gt;=0,"Under","Over")</f>
        <v/>
      </c>
      <c r="P403" s="69">
        <f>IF(M403&lt;-0.05,"Watch","On Track")</f>
        <v/>
      </c>
    </row>
    <row r="404" ht="16" customHeight="1">
      <c r="A404" s="98" t="inlineStr">
        <is>
          <t>CC-00403</t>
        </is>
      </c>
      <c r="B404" s="99" t="inlineStr">
        <is>
          <t>EVT-2025-037</t>
        </is>
      </c>
      <c r="C404" s="100" t="inlineStr">
        <is>
          <t>Orphavex Advisory Board Berlin May 2025</t>
        </is>
      </c>
      <c r="D404" s="100" t="inlineStr">
        <is>
          <t>Rare Diseases</t>
        </is>
      </c>
      <c r="E404" s="100" t="inlineStr">
        <is>
          <t>BU Rare Diseases</t>
        </is>
      </c>
      <c r="F404" s="99" t="inlineStr">
        <is>
          <t>Agency Fees</t>
        </is>
      </c>
      <c r="G404" s="99" t="inlineStr">
        <is>
          <t>May-2025</t>
        </is>
      </c>
      <c r="H404" s="99" t="inlineStr">
        <is>
          <t>Q2 2025</t>
        </is>
      </c>
      <c r="I404" s="101" t="n">
        <v>41088.43</v>
      </c>
      <c r="J404" s="101" t="n">
        <v>28468.9</v>
      </c>
      <c r="K404" s="101" t="n">
        <v>0</v>
      </c>
      <c r="L404" s="165">
        <f>I404-J404</f>
        <v/>
      </c>
      <c r="M404" s="166">
        <f>IF(I404=0,0,ROUND((I404-J404)/I404,4))</f>
        <v/>
      </c>
      <c r="N404" s="104">
        <f>IF(I404=0,0,J404/I404)</f>
        <v/>
      </c>
      <c r="O404" s="105">
        <f>IF(L404&gt;=0,"Under","Over")</f>
        <v/>
      </c>
      <c r="P404" s="69">
        <f>IF(M404&lt;-0.05,"Watch","On Track")</f>
        <v/>
      </c>
    </row>
    <row r="405" ht="16" customHeight="1">
      <c r="A405" s="106" t="inlineStr">
        <is>
          <t>CC-00404</t>
        </is>
      </c>
      <c r="B405" s="71" t="inlineStr">
        <is>
          <t>EVT-2025-037</t>
        </is>
      </c>
      <c r="C405" s="70" t="inlineStr">
        <is>
          <t>Orphavex Advisory Board Berlin May 2025</t>
        </is>
      </c>
      <c r="D405" s="70" t="inlineStr">
        <is>
          <t>Rare Diseases</t>
        </is>
      </c>
      <c r="E405" s="70" t="inlineStr">
        <is>
          <t>BU Rare Diseases</t>
        </is>
      </c>
      <c r="F405" s="71" t="inlineStr">
        <is>
          <t>Speaker Fees</t>
        </is>
      </c>
      <c r="G405" s="71" t="inlineStr">
        <is>
          <t>May-2025</t>
        </is>
      </c>
      <c r="H405" s="71" t="inlineStr">
        <is>
          <t>Q2 2025</t>
        </is>
      </c>
      <c r="I405" s="73" t="n">
        <v>29348.88</v>
      </c>
      <c r="J405" s="73" t="n">
        <v>26206.72</v>
      </c>
      <c r="K405" s="73" t="n">
        <v>0</v>
      </c>
      <c r="L405" s="163">
        <f>I405-J405</f>
        <v/>
      </c>
      <c r="M405" s="161">
        <f>IF(I405=0,0,ROUND((I405-J405)/I405,4))</f>
        <v/>
      </c>
      <c r="N405" s="107">
        <f>IF(I405=0,0,J405/I405)</f>
        <v/>
      </c>
      <c r="O405" s="108">
        <f>IF(L405&gt;=0,"Under","Over")</f>
        <v/>
      </c>
      <c r="P405" s="69">
        <f>IF(M405&lt;-0.05,"Watch","On Track")</f>
        <v/>
      </c>
    </row>
    <row r="406" ht="16" customHeight="1">
      <c r="A406" s="98" t="inlineStr">
        <is>
          <t>CC-00405</t>
        </is>
      </c>
      <c r="B406" s="99" t="inlineStr">
        <is>
          <t>EVT-2025-037</t>
        </is>
      </c>
      <c r="C406" s="100" t="inlineStr">
        <is>
          <t>Orphavex Advisory Board Berlin May 2025</t>
        </is>
      </c>
      <c r="D406" s="100" t="inlineStr">
        <is>
          <t>Rare Diseases</t>
        </is>
      </c>
      <c r="E406" s="100" t="inlineStr">
        <is>
          <t>BU Rare Diseases</t>
        </is>
      </c>
      <c r="F406" s="99" t="inlineStr">
        <is>
          <t>Translation</t>
        </is>
      </c>
      <c r="G406" s="99" t="inlineStr">
        <is>
          <t>May-2025</t>
        </is>
      </c>
      <c r="H406" s="99" t="inlineStr">
        <is>
          <t>Q2 2025</t>
        </is>
      </c>
      <c r="I406" s="101" t="n">
        <v>8804.66</v>
      </c>
      <c r="J406" s="101" t="n">
        <v>6956</v>
      </c>
      <c r="K406" s="101" t="n">
        <v>0</v>
      </c>
      <c r="L406" s="165">
        <f>I406-J406</f>
        <v/>
      </c>
      <c r="M406" s="166">
        <f>IF(I406=0,0,ROUND((I406-J406)/I406,4))</f>
        <v/>
      </c>
      <c r="N406" s="104">
        <f>IF(I406=0,0,J406/I406)</f>
        <v/>
      </c>
      <c r="O406" s="105">
        <f>IF(L406&gt;=0,"Under","Over")</f>
        <v/>
      </c>
      <c r="P406" s="69">
        <f>IF(M406&lt;-0.05,"Watch","On Track")</f>
        <v/>
      </c>
    </row>
    <row r="407" ht="16" customHeight="1">
      <c r="A407" s="106" t="inlineStr">
        <is>
          <t>CC-00406</t>
        </is>
      </c>
      <c r="B407" s="71" t="inlineStr">
        <is>
          <t>EVT-2025-037</t>
        </is>
      </c>
      <c r="C407" s="70" t="inlineStr">
        <is>
          <t>Orphavex Advisory Board Berlin May 2025</t>
        </is>
      </c>
      <c r="D407" s="70" t="inlineStr">
        <is>
          <t>Rare Diseases</t>
        </is>
      </c>
      <c r="E407" s="70" t="inlineStr">
        <is>
          <t>BU Rare Diseases</t>
        </is>
      </c>
      <c r="F407" s="71" t="inlineStr">
        <is>
          <t>Print &amp; Production</t>
        </is>
      </c>
      <c r="G407" s="71" t="inlineStr">
        <is>
          <t>May-2025</t>
        </is>
      </c>
      <c r="H407" s="71" t="inlineStr">
        <is>
          <t>Q2 2025</t>
        </is>
      </c>
      <c r="I407" s="73" t="n">
        <v>5869.78</v>
      </c>
      <c r="J407" s="73" t="n">
        <v>5788.09</v>
      </c>
      <c r="K407" s="73" t="n">
        <v>0</v>
      </c>
      <c r="L407" s="163">
        <f>I407-J407</f>
        <v/>
      </c>
      <c r="M407" s="161">
        <f>IF(I407=0,0,ROUND((I407-J407)/I407,4))</f>
        <v/>
      </c>
      <c r="N407" s="107">
        <f>IF(I407=0,0,J407/I407)</f>
        <v/>
      </c>
      <c r="O407" s="108">
        <f>IF(L407&gt;=0,"Under","Over")</f>
        <v/>
      </c>
      <c r="P407" s="69">
        <f>IF(M407&lt;-0.05,"Watch","On Track")</f>
        <v/>
      </c>
    </row>
    <row r="408" ht="16" customHeight="1">
      <c r="A408" s="98" t="inlineStr">
        <is>
          <t>CC-00407</t>
        </is>
      </c>
      <c r="B408" s="99" t="inlineStr">
        <is>
          <t>EVT-2025-037</t>
        </is>
      </c>
      <c r="C408" s="100" t="inlineStr">
        <is>
          <t>Orphavex Advisory Board Berlin May 2025</t>
        </is>
      </c>
      <c r="D408" s="100" t="inlineStr">
        <is>
          <t>Rare Diseases</t>
        </is>
      </c>
      <c r="E408" s="100" t="inlineStr">
        <is>
          <t>BU Rare Diseases</t>
        </is>
      </c>
      <c r="F408" s="99" t="inlineStr">
        <is>
          <t>Miscellaneous</t>
        </is>
      </c>
      <c r="G408" s="99" t="inlineStr">
        <is>
          <t>May-2025</t>
        </is>
      </c>
      <c r="H408" s="99" t="inlineStr">
        <is>
          <t>Q2 2025</t>
        </is>
      </c>
      <c r="I408" s="101" t="n">
        <v>5869.78</v>
      </c>
      <c r="J408" s="101" t="n">
        <v>4388.77</v>
      </c>
      <c r="K408" s="101" t="n">
        <v>0</v>
      </c>
      <c r="L408" s="165">
        <f>I408-J408</f>
        <v/>
      </c>
      <c r="M408" s="166">
        <f>IF(I408=0,0,ROUND((I408-J408)/I408,4))</f>
        <v/>
      </c>
      <c r="N408" s="104">
        <f>IF(I408=0,0,J408/I408)</f>
        <v/>
      </c>
      <c r="O408" s="105">
        <f>IF(L408&gt;=0,"Under","Over")</f>
        <v/>
      </c>
      <c r="P408" s="69">
        <f>IF(M408&lt;-0.05,"Watch","On Track")</f>
        <v/>
      </c>
    </row>
    <row r="409" ht="16" customHeight="1">
      <c r="A409" s="106" t="inlineStr">
        <is>
          <t>CC-00408</t>
        </is>
      </c>
      <c r="B409" s="71" t="inlineStr">
        <is>
          <t>EVT-2025-038</t>
        </is>
      </c>
      <c r="C409" s="70" t="inlineStr">
        <is>
          <t>Genetrix Satellite Symposium Amsterdam Jun 2025</t>
        </is>
      </c>
      <c r="D409" s="70" t="inlineStr">
        <is>
          <t>Rare Diseases</t>
        </is>
      </c>
      <c r="E409" s="70" t="inlineStr">
        <is>
          <t>BU Rare Diseases</t>
        </is>
      </c>
      <c r="F409" s="71" t="inlineStr">
        <is>
          <t>Airfare</t>
        </is>
      </c>
      <c r="G409" s="71" t="inlineStr">
        <is>
          <t>Jun-2025</t>
        </is>
      </c>
      <c r="H409" s="71" t="inlineStr">
        <is>
          <t>Q2 2025</t>
        </is>
      </c>
      <c r="I409" s="73" t="n">
        <v>25929.9</v>
      </c>
      <c r="J409" s="73" t="n">
        <v>18753.15</v>
      </c>
      <c r="K409" s="73" t="n">
        <v>13540.75</v>
      </c>
      <c r="L409" s="163">
        <f>I409-J409</f>
        <v/>
      </c>
      <c r="M409" s="161">
        <f>IF(I409=0,0,ROUND((I409-J409)/I409,4))</f>
        <v/>
      </c>
      <c r="N409" s="107">
        <f>IF(I409=0,0,J409/I409)</f>
        <v/>
      </c>
      <c r="O409" s="108">
        <f>IF(L409&gt;=0,"Under","Over")</f>
        <v/>
      </c>
      <c r="P409" s="69">
        <f>IF(M409&lt;-0.05,"Watch","On Track")</f>
        <v/>
      </c>
    </row>
    <row r="410" ht="16" customHeight="1">
      <c r="A410" s="98" t="inlineStr">
        <is>
          <t>CC-00409</t>
        </is>
      </c>
      <c r="B410" s="99" t="inlineStr">
        <is>
          <t>EVT-2025-038</t>
        </is>
      </c>
      <c r="C410" s="100" t="inlineStr">
        <is>
          <t>Genetrix Satellite Symposium Amsterdam Jun 2025</t>
        </is>
      </c>
      <c r="D410" s="100" t="inlineStr">
        <is>
          <t>Rare Diseases</t>
        </is>
      </c>
      <c r="E410" s="100" t="inlineStr">
        <is>
          <t>BU Rare Diseases</t>
        </is>
      </c>
      <c r="F410" s="99" t="inlineStr">
        <is>
          <t>Hotel</t>
        </is>
      </c>
      <c r="G410" s="99" t="inlineStr">
        <is>
          <t>Jun-2025</t>
        </is>
      </c>
      <c r="H410" s="99" t="inlineStr">
        <is>
          <t>Q2 2025</t>
        </is>
      </c>
      <c r="I410" s="101" t="n">
        <v>46673.82</v>
      </c>
      <c r="J410" s="101" t="n">
        <v>34257.93</v>
      </c>
      <c r="K410" s="101" t="n">
        <v>27885.95</v>
      </c>
      <c r="L410" s="165">
        <f>I410-J410</f>
        <v/>
      </c>
      <c r="M410" s="166">
        <f>IF(I410=0,0,ROUND((I410-J410)/I410,4))</f>
        <v/>
      </c>
      <c r="N410" s="104">
        <f>IF(I410=0,0,J410/I410)</f>
        <v/>
      </c>
      <c r="O410" s="105">
        <f>IF(L410&gt;=0,"Under","Over")</f>
        <v/>
      </c>
      <c r="P410" s="69">
        <f>IF(M410&lt;-0.05,"Watch","On Track")</f>
        <v/>
      </c>
    </row>
    <row r="411" ht="16" customHeight="1">
      <c r="A411" s="106" t="inlineStr">
        <is>
          <t>CC-00410</t>
        </is>
      </c>
      <c r="B411" s="71" t="inlineStr">
        <is>
          <t>EVT-2025-038</t>
        </is>
      </c>
      <c r="C411" s="70" t="inlineStr">
        <is>
          <t>Genetrix Satellite Symposium Amsterdam Jun 2025</t>
        </is>
      </c>
      <c r="D411" s="70" t="inlineStr">
        <is>
          <t>Rare Diseases</t>
        </is>
      </c>
      <c r="E411" s="70" t="inlineStr">
        <is>
          <t>BU Rare Diseases</t>
        </is>
      </c>
      <c r="F411" s="71" t="inlineStr">
        <is>
          <t>Venue</t>
        </is>
      </c>
      <c r="G411" s="71" t="inlineStr">
        <is>
          <t>Jun-2025</t>
        </is>
      </c>
      <c r="H411" s="71" t="inlineStr">
        <is>
          <t>Q2 2025</t>
        </is>
      </c>
      <c r="I411" s="73" t="n">
        <v>38894.85</v>
      </c>
      <c r="J411" s="73" t="n">
        <v>38581.56</v>
      </c>
      <c r="K411" s="73" t="n">
        <v>28792.76</v>
      </c>
      <c r="L411" s="163">
        <f>I411-J411</f>
        <v/>
      </c>
      <c r="M411" s="161">
        <f>IF(I411=0,0,ROUND((I411-J411)/I411,4))</f>
        <v/>
      </c>
      <c r="N411" s="107">
        <f>IF(I411=0,0,J411/I411)</f>
        <v/>
      </c>
      <c r="O411" s="108">
        <f>IF(L411&gt;=0,"Under","Over")</f>
        <v/>
      </c>
      <c r="P411" s="69">
        <f>IF(M411&lt;-0.05,"Watch","On Track")</f>
        <v/>
      </c>
    </row>
    <row r="412" ht="16" customHeight="1">
      <c r="A412" s="98" t="inlineStr">
        <is>
          <t>CC-00411</t>
        </is>
      </c>
      <c r="B412" s="99" t="inlineStr">
        <is>
          <t>EVT-2025-038</t>
        </is>
      </c>
      <c r="C412" s="100" t="inlineStr">
        <is>
          <t>Genetrix Satellite Symposium Amsterdam Jun 2025</t>
        </is>
      </c>
      <c r="D412" s="100" t="inlineStr">
        <is>
          <t>Rare Diseases</t>
        </is>
      </c>
      <c r="E412" s="100" t="inlineStr">
        <is>
          <t>BU Rare Diseases</t>
        </is>
      </c>
      <c r="F412" s="99" t="inlineStr">
        <is>
          <t>F&amp;B</t>
        </is>
      </c>
      <c r="G412" s="99" t="inlineStr">
        <is>
          <t>Jun-2025</t>
        </is>
      </c>
      <c r="H412" s="99" t="inlineStr">
        <is>
          <t>Q2 2025</t>
        </is>
      </c>
      <c r="I412" s="101" t="n">
        <v>31115.88</v>
      </c>
      <c r="J412" s="101" t="n">
        <v>24731.24</v>
      </c>
      <c r="K412" s="101" t="n">
        <v>19988.04</v>
      </c>
      <c r="L412" s="165">
        <f>I412-J412</f>
        <v/>
      </c>
      <c r="M412" s="166">
        <f>IF(I412=0,0,ROUND((I412-J412)/I412,4))</f>
        <v/>
      </c>
      <c r="N412" s="104">
        <f>IF(I412=0,0,J412/I412)</f>
        <v/>
      </c>
      <c r="O412" s="105">
        <f>IF(L412&gt;=0,"Under","Over")</f>
        <v/>
      </c>
      <c r="P412" s="69">
        <f>IF(M412&lt;-0.05,"Watch","On Track")</f>
        <v/>
      </c>
    </row>
    <row r="413" ht="16" customHeight="1">
      <c r="A413" s="106" t="inlineStr">
        <is>
          <t>CC-00412</t>
        </is>
      </c>
      <c r="B413" s="71" t="inlineStr">
        <is>
          <t>EVT-2025-038</t>
        </is>
      </c>
      <c r="C413" s="70" t="inlineStr">
        <is>
          <t>Genetrix Satellite Symposium Amsterdam Jun 2025</t>
        </is>
      </c>
      <c r="D413" s="70" t="inlineStr">
        <is>
          <t>Rare Diseases</t>
        </is>
      </c>
      <c r="E413" s="70" t="inlineStr">
        <is>
          <t>BU Rare Diseases</t>
        </is>
      </c>
      <c r="F413" s="71" t="inlineStr">
        <is>
          <t>Logistics</t>
        </is>
      </c>
      <c r="G413" s="71" t="inlineStr">
        <is>
          <t>Jun-2025</t>
        </is>
      </c>
      <c r="H413" s="71" t="inlineStr">
        <is>
          <t>Q2 2025</t>
        </is>
      </c>
      <c r="I413" s="73" t="n">
        <v>15557.94</v>
      </c>
      <c r="J413" s="73" t="n">
        <v>10046.7</v>
      </c>
      <c r="K413" s="73" t="n">
        <v>9874.780000000001</v>
      </c>
      <c r="L413" s="163">
        <f>I413-J413</f>
        <v/>
      </c>
      <c r="M413" s="161">
        <f>IF(I413=0,0,ROUND((I413-J413)/I413,4))</f>
        <v/>
      </c>
      <c r="N413" s="107">
        <f>IF(I413=0,0,J413/I413)</f>
        <v/>
      </c>
      <c r="O413" s="108">
        <f>IF(L413&gt;=0,"Under","Over")</f>
        <v/>
      </c>
      <c r="P413" s="69">
        <f>IF(M413&lt;-0.05,"Watch","On Track")</f>
        <v/>
      </c>
    </row>
    <row r="414" ht="16" customHeight="1">
      <c r="A414" s="98" t="inlineStr">
        <is>
          <t>CC-00413</t>
        </is>
      </c>
      <c r="B414" s="99" t="inlineStr">
        <is>
          <t>EVT-2025-038</t>
        </is>
      </c>
      <c r="C414" s="100" t="inlineStr">
        <is>
          <t>Genetrix Satellite Symposium Amsterdam Jun 2025</t>
        </is>
      </c>
      <c r="D414" s="100" t="inlineStr">
        <is>
          <t>Rare Diseases</t>
        </is>
      </c>
      <c r="E414" s="100" t="inlineStr">
        <is>
          <t>BU Rare Diseases</t>
        </is>
      </c>
      <c r="F414" s="99" t="inlineStr">
        <is>
          <t>AV &amp; Technology</t>
        </is>
      </c>
      <c r="G414" s="99" t="inlineStr">
        <is>
          <t>Jun-2025</t>
        </is>
      </c>
      <c r="H414" s="99" t="inlineStr">
        <is>
          <t>Q2 2025</t>
        </is>
      </c>
      <c r="I414" s="101" t="n">
        <v>20743.92</v>
      </c>
      <c r="J414" s="101" t="n">
        <v>17059.13</v>
      </c>
      <c r="K414" s="101" t="n">
        <v>15837.76</v>
      </c>
      <c r="L414" s="165">
        <f>I414-J414</f>
        <v/>
      </c>
      <c r="M414" s="166">
        <f>IF(I414=0,0,ROUND((I414-J414)/I414,4))</f>
        <v/>
      </c>
      <c r="N414" s="104">
        <f>IF(I414=0,0,J414/I414)</f>
        <v/>
      </c>
      <c r="O414" s="105">
        <f>IF(L414&gt;=0,"Under","Over")</f>
        <v/>
      </c>
      <c r="P414" s="69">
        <f>IF(M414&lt;-0.05,"Watch","On Track")</f>
        <v/>
      </c>
    </row>
    <row r="415" ht="16" customHeight="1">
      <c r="A415" s="106" t="inlineStr">
        <is>
          <t>CC-00414</t>
        </is>
      </c>
      <c r="B415" s="71" t="inlineStr">
        <is>
          <t>EVT-2025-038</t>
        </is>
      </c>
      <c r="C415" s="70" t="inlineStr">
        <is>
          <t>Genetrix Satellite Symposium Amsterdam Jun 2025</t>
        </is>
      </c>
      <c r="D415" s="70" t="inlineStr">
        <is>
          <t>Rare Diseases</t>
        </is>
      </c>
      <c r="E415" s="70" t="inlineStr">
        <is>
          <t>BU Rare Diseases</t>
        </is>
      </c>
      <c r="F415" s="71" t="inlineStr">
        <is>
          <t>Agency Fees</t>
        </is>
      </c>
      <c r="G415" s="71" t="inlineStr">
        <is>
          <t>Jun-2025</t>
        </is>
      </c>
      <c r="H415" s="71" t="inlineStr">
        <is>
          <t>Q2 2025</t>
        </is>
      </c>
      <c r="I415" s="73" t="n">
        <v>36301.86</v>
      </c>
      <c r="J415" s="73" t="n">
        <v>23636.71</v>
      </c>
      <c r="K415" s="73" t="n">
        <v>17164.72</v>
      </c>
      <c r="L415" s="163">
        <f>I415-J415</f>
        <v/>
      </c>
      <c r="M415" s="161">
        <f>IF(I415=0,0,ROUND((I415-J415)/I415,4))</f>
        <v/>
      </c>
      <c r="N415" s="107">
        <f>IF(I415=0,0,J415/I415)</f>
        <v/>
      </c>
      <c r="O415" s="108">
        <f>IF(L415&gt;=0,"Under","Over")</f>
        <v/>
      </c>
      <c r="P415" s="69">
        <f>IF(M415&lt;-0.05,"Watch","On Track")</f>
        <v/>
      </c>
    </row>
    <row r="416" ht="16" customHeight="1">
      <c r="A416" s="98" t="inlineStr">
        <is>
          <t>CC-00415</t>
        </is>
      </c>
      <c r="B416" s="99" t="inlineStr">
        <is>
          <t>EVT-2025-038</t>
        </is>
      </c>
      <c r="C416" s="100" t="inlineStr">
        <is>
          <t>Genetrix Satellite Symposium Amsterdam Jun 2025</t>
        </is>
      </c>
      <c r="D416" s="100" t="inlineStr">
        <is>
          <t>Rare Diseases</t>
        </is>
      </c>
      <c r="E416" s="100" t="inlineStr">
        <is>
          <t>BU Rare Diseases</t>
        </is>
      </c>
      <c r="F416" s="99" t="inlineStr">
        <is>
          <t>Speaker Fees</t>
        </is>
      </c>
      <c r="G416" s="99" t="inlineStr">
        <is>
          <t>Jun-2025</t>
        </is>
      </c>
      <c r="H416" s="99" t="inlineStr">
        <is>
          <t>Q2 2025</t>
        </is>
      </c>
      <c r="I416" s="101" t="n">
        <v>25929.9</v>
      </c>
      <c r="J416" s="101" t="n">
        <v>21145.57</v>
      </c>
      <c r="K416" s="101" t="n">
        <v>18335.23</v>
      </c>
      <c r="L416" s="165">
        <f>I416-J416</f>
        <v/>
      </c>
      <c r="M416" s="166">
        <f>IF(I416=0,0,ROUND((I416-J416)/I416,4))</f>
        <v/>
      </c>
      <c r="N416" s="104">
        <f>IF(I416=0,0,J416/I416)</f>
        <v/>
      </c>
      <c r="O416" s="105">
        <f>IF(L416&gt;=0,"Under","Over")</f>
        <v/>
      </c>
      <c r="P416" s="69">
        <f>IF(M416&lt;-0.05,"Watch","On Track")</f>
        <v/>
      </c>
    </row>
    <row r="417" ht="16" customHeight="1">
      <c r="A417" s="106" t="inlineStr">
        <is>
          <t>CC-00416</t>
        </is>
      </c>
      <c r="B417" s="71" t="inlineStr">
        <is>
          <t>EVT-2025-038</t>
        </is>
      </c>
      <c r="C417" s="70" t="inlineStr">
        <is>
          <t>Genetrix Satellite Symposium Amsterdam Jun 2025</t>
        </is>
      </c>
      <c r="D417" s="70" t="inlineStr">
        <is>
          <t>Rare Diseases</t>
        </is>
      </c>
      <c r="E417" s="70" t="inlineStr">
        <is>
          <t>BU Rare Diseases</t>
        </is>
      </c>
      <c r="F417" s="71" t="inlineStr">
        <is>
          <t>Translation</t>
        </is>
      </c>
      <c r="G417" s="71" t="inlineStr">
        <is>
          <t>Jun-2025</t>
        </is>
      </c>
      <c r="H417" s="71" t="inlineStr">
        <is>
          <t>Q2 2025</t>
        </is>
      </c>
      <c r="I417" s="73" t="n">
        <v>7778.97</v>
      </c>
      <c r="J417" s="73" t="n">
        <v>6660.51</v>
      </c>
      <c r="K417" s="73" t="n">
        <v>4868.75</v>
      </c>
      <c r="L417" s="163">
        <f>I417-J417</f>
        <v/>
      </c>
      <c r="M417" s="161">
        <f>IF(I417=0,0,ROUND((I417-J417)/I417,4))</f>
        <v/>
      </c>
      <c r="N417" s="107">
        <f>IF(I417=0,0,J417/I417)</f>
        <v/>
      </c>
      <c r="O417" s="108">
        <f>IF(L417&gt;=0,"Under","Over")</f>
        <v/>
      </c>
      <c r="P417" s="69">
        <f>IF(M417&lt;-0.05,"Watch","On Track")</f>
        <v/>
      </c>
    </row>
    <row r="418" ht="16" customHeight="1">
      <c r="A418" s="98" t="inlineStr">
        <is>
          <t>CC-00417</t>
        </is>
      </c>
      <c r="B418" s="99" t="inlineStr">
        <is>
          <t>EVT-2025-038</t>
        </is>
      </c>
      <c r="C418" s="100" t="inlineStr">
        <is>
          <t>Genetrix Satellite Symposium Amsterdam Jun 2025</t>
        </is>
      </c>
      <c r="D418" s="100" t="inlineStr">
        <is>
          <t>Rare Diseases</t>
        </is>
      </c>
      <c r="E418" s="100" t="inlineStr">
        <is>
          <t>BU Rare Diseases</t>
        </is>
      </c>
      <c r="F418" s="99" t="inlineStr">
        <is>
          <t>Print &amp; Production</t>
        </is>
      </c>
      <c r="G418" s="99" t="inlineStr">
        <is>
          <t>Jun-2025</t>
        </is>
      </c>
      <c r="H418" s="99" t="inlineStr">
        <is>
          <t>Q2 2025</t>
        </is>
      </c>
      <c r="I418" s="101" t="n">
        <v>5185.98</v>
      </c>
      <c r="J418" s="101" t="n">
        <v>3343.97</v>
      </c>
      <c r="K418" s="101" t="n">
        <v>2896.77</v>
      </c>
      <c r="L418" s="165">
        <f>I418-J418</f>
        <v/>
      </c>
      <c r="M418" s="166">
        <f>IF(I418=0,0,ROUND((I418-J418)/I418,4))</f>
        <v/>
      </c>
      <c r="N418" s="104">
        <f>IF(I418=0,0,J418/I418)</f>
        <v/>
      </c>
      <c r="O418" s="105">
        <f>IF(L418&gt;=0,"Under","Over")</f>
        <v/>
      </c>
      <c r="P418" s="69">
        <f>IF(M418&lt;-0.05,"Watch","On Track")</f>
        <v/>
      </c>
    </row>
    <row r="419" ht="16" customHeight="1">
      <c r="A419" s="106" t="inlineStr">
        <is>
          <t>CC-00418</t>
        </is>
      </c>
      <c r="B419" s="71" t="inlineStr">
        <is>
          <t>EVT-2025-038</t>
        </is>
      </c>
      <c r="C419" s="70" t="inlineStr">
        <is>
          <t>Genetrix Satellite Symposium Amsterdam Jun 2025</t>
        </is>
      </c>
      <c r="D419" s="70" t="inlineStr">
        <is>
          <t>Rare Diseases</t>
        </is>
      </c>
      <c r="E419" s="70" t="inlineStr">
        <is>
          <t>BU Rare Diseases</t>
        </is>
      </c>
      <c r="F419" s="71" t="inlineStr">
        <is>
          <t>Miscellaneous</t>
        </is>
      </c>
      <c r="G419" s="71" t="inlineStr">
        <is>
          <t>Jun-2025</t>
        </is>
      </c>
      <c r="H419" s="71" t="inlineStr">
        <is>
          <t>Q2 2025</t>
        </is>
      </c>
      <c r="I419" s="73" t="n">
        <v>5185.98</v>
      </c>
      <c r="J419" s="73" t="n">
        <v>4659.41</v>
      </c>
      <c r="K419" s="73" t="n">
        <v>4358.09</v>
      </c>
      <c r="L419" s="163">
        <f>I419-J419</f>
        <v/>
      </c>
      <c r="M419" s="161">
        <f>IF(I419=0,0,ROUND((I419-J419)/I419,4))</f>
        <v/>
      </c>
      <c r="N419" s="107">
        <f>IF(I419=0,0,J419/I419)</f>
        <v/>
      </c>
      <c r="O419" s="108">
        <f>IF(L419&gt;=0,"Under","Over")</f>
        <v/>
      </c>
      <c r="P419" s="69">
        <f>IF(M419&lt;-0.05,"Watch","On Track")</f>
        <v/>
      </c>
    </row>
    <row r="420" ht="16" customHeight="1">
      <c r="A420" s="98" t="inlineStr">
        <is>
          <t>CC-00419</t>
        </is>
      </c>
      <c r="B420" s="99" t="inlineStr">
        <is>
          <t>EVT-2025-039</t>
        </is>
      </c>
      <c r="C420" s="100" t="inlineStr">
        <is>
          <t>Rarzolene Advisory Board Athens May 2025</t>
        </is>
      </c>
      <c r="D420" s="100" t="inlineStr">
        <is>
          <t>Rare Diseases</t>
        </is>
      </c>
      <c r="E420" s="100" t="inlineStr">
        <is>
          <t>BU Rare Diseases</t>
        </is>
      </c>
      <c r="F420" s="99" t="inlineStr">
        <is>
          <t>Airfare</t>
        </is>
      </c>
      <c r="G420" s="99" t="inlineStr">
        <is>
          <t>May-2025</t>
        </is>
      </c>
      <c r="H420" s="99" t="inlineStr">
        <is>
          <t>Q2 2025</t>
        </is>
      </c>
      <c r="I420" s="101" t="n">
        <v>36109.06</v>
      </c>
      <c r="J420" s="101" t="n">
        <v>37259.46</v>
      </c>
      <c r="K420" s="101" t="n">
        <v>0</v>
      </c>
      <c r="L420" s="167">
        <f>I420-J420</f>
        <v/>
      </c>
      <c r="M420" s="166">
        <f>IF(I420=0,0,ROUND((I420-J420)/I420,4))</f>
        <v/>
      </c>
      <c r="N420" s="104">
        <f>IF(I420=0,0,J420/I420)</f>
        <v/>
      </c>
      <c r="O420" s="111">
        <f>IF(L420&gt;=0,"Under","Over")</f>
        <v/>
      </c>
      <c r="P420" s="69">
        <f>IF(M420&lt;-0.05,"Watch","On Track")</f>
        <v/>
      </c>
    </row>
    <row r="421" ht="16" customHeight="1">
      <c r="A421" s="106" t="inlineStr">
        <is>
          <t>CC-00420</t>
        </is>
      </c>
      <c r="B421" s="71" t="inlineStr">
        <is>
          <t>EVT-2025-039</t>
        </is>
      </c>
      <c r="C421" s="70" t="inlineStr">
        <is>
          <t>Rarzolene Advisory Board Athens May 2025</t>
        </is>
      </c>
      <c r="D421" s="70" t="inlineStr">
        <is>
          <t>Rare Diseases</t>
        </is>
      </c>
      <c r="E421" s="70" t="inlineStr">
        <is>
          <t>BU Rare Diseases</t>
        </is>
      </c>
      <c r="F421" s="71" t="inlineStr">
        <is>
          <t>Hotel</t>
        </is>
      </c>
      <c r="G421" s="71" t="inlineStr">
        <is>
          <t>May-2025</t>
        </is>
      </c>
      <c r="H421" s="71" t="inlineStr">
        <is>
          <t>Q2 2025</t>
        </is>
      </c>
      <c r="I421" s="73" t="n">
        <v>64996.3</v>
      </c>
      <c r="J421" s="73" t="n">
        <v>39398.83</v>
      </c>
      <c r="K421" s="73" t="n">
        <v>0</v>
      </c>
      <c r="L421" s="163">
        <f>I421-J421</f>
        <v/>
      </c>
      <c r="M421" s="161">
        <f>IF(I421=0,0,ROUND((I421-J421)/I421,4))</f>
        <v/>
      </c>
      <c r="N421" s="107">
        <f>IF(I421=0,0,J421/I421)</f>
        <v/>
      </c>
      <c r="O421" s="108">
        <f>IF(L421&gt;=0,"Under","Over")</f>
        <v/>
      </c>
      <c r="P421" s="69">
        <f>IF(M421&lt;-0.05,"Watch","On Track")</f>
        <v/>
      </c>
    </row>
    <row r="422" ht="16" customHeight="1">
      <c r="A422" s="98" t="inlineStr">
        <is>
          <t>CC-00421</t>
        </is>
      </c>
      <c r="B422" s="99" t="inlineStr">
        <is>
          <t>EVT-2025-039</t>
        </is>
      </c>
      <c r="C422" s="100" t="inlineStr">
        <is>
          <t>Rarzolene Advisory Board Athens May 2025</t>
        </is>
      </c>
      <c r="D422" s="100" t="inlineStr">
        <is>
          <t>Rare Diseases</t>
        </is>
      </c>
      <c r="E422" s="100" t="inlineStr">
        <is>
          <t>BU Rare Diseases</t>
        </is>
      </c>
      <c r="F422" s="99" t="inlineStr">
        <is>
          <t>Venue</t>
        </is>
      </c>
      <c r="G422" s="99" t="inlineStr">
        <is>
          <t>May-2025</t>
        </is>
      </c>
      <c r="H422" s="99" t="inlineStr">
        <is>
          <t>Q2 2025</t>
        </is>
      </c>
      <c r="I422" s="101" t="n">
        <v>54163.58</v>
      </c>
      <c r="J422" s="101" t="n">
        <v>43704.87</v>
      </c>
      <c r="K422" s="101" t="n">
        <v>0</v>
      </c>
      <c r="L422" s="165">
        <f>I422-J422</f>
        <v/>
      </c>
      <c r="M422" s="166">
        <f>IF(I422=0,0,ROUND((I422-J422)/I422,4))</f>
        <v/>
      </c>
      <c r="N422" s="104">
        <f>IF(I422=0,0,J422/I422)</f>
        <v/>
      </c>
      <c r="O422" s="105">
        <f>IF(L422&gt;=0,"Under","Over")</f>
        <v/>
      </c>
      <c r="P422" s="69">
        <f>IF(M422&lt;-0.05,"Watch","On Track")</f>
        <v/>
      </c>
    </row>
    <row r="423" ht="16" customHeight="1">
      <c r="A423" s="106" t="inlineStr">
        <is>
          <t>CC-00422</t>
        </is>
      </c>
      <c r="B423" s="71" t="inlineStr">
        <is>
          <t>EVT-2025-039</t>
        </is>
      </c>
      <c r="C423" s="70" t="inlineStr">
        <is>
          <t>Rarzolene Advisory Board Athens May 2025</t>
        </is>
      </c>
      <c r="D423" s="70" t="inlineStr">
        <is>
          <t>Rare Diseases</t>
        </is>
      </c>
      <c r="E423" s="70" t="inlineStr">
        <is>
          <t>BU Rare Diseases</t>
        </is>
      </c>
      <c r="F423" s="71" t="inlineStr">
        <is>
          <t>F&amp;B</t>
        </is>
      </c>
      <c r="G423" s="71" t="inlineStr">
        <is>
          <t>May-2025</t>
        </is>
      </c>
      <c r="H423" s="71" t="inlineStr">
        <is>
          <t>Q2 2025</t>
        </is>
      </c>
      <c r="I423" s="73" t="n">
        <v>43330.87</v>
      </c>
      <c r="J423" s="73" t="n">
        <v>42879.56</v>
      </c>
      <c r="K423" s="73" t="n">
        <v>0</v>
      </c>
      <c r="L423" s="163">
        <f>I423-J423</f>
        <v/>
      </c>
      <c r="M423" s="161">
        <f>IF(I423=0,0,ROUND((I423-J423)/I423,4))</f>
        <v/>
      </c>
      <c r="N423" s="107">
        <f>IF(I423=0,0,J423/I423)</f>
        <v/>
      </c>
      <c r="O423" s="108">
        <f>IF(L423&gt;=0,"Under","Over")</f>
        <v/>
      </c>
      <c r="P423" s="69">
        <f>IF(M423&lt;-0.05,"Watch","On Track")</f>
        <v/>
      </c>
    </row>
    <row r="424" ht="16" customHeight="1">
      <c r="A424" s="98" t="inlineStr">
        <is>
          <t>CC-00423</t>
        </is>
      </c>
      <c r="B424" s="99" t="inlineStr">
        <is>
          <t>EVT-2025-039</t>
        </is>
      </c>
      <c r="C424" s="100" t="inlineStr">
        <is>
          <t>Rarzolene Advisory Board Athens May 2025</t>
        </is>
      </c>
      <c r="D424" s="100" t="inlineStr">
        <is>
          <t>Rare Diseases</t>
        </is>
      </c>
      <c r="E424" s="100" t="inlineStr">
        <is>
          <t>BU Rare Diseases</t>
        </is>
      </c>
      <c r="F424" s="99" t="inlineStr">
        <is>
          <t>Logistics</t>
        </is>
      </c>
      <c r="G424" s="99" t="inlineStr">
        <is>
          <t>May-2025</t>
        </is>
      </c>
      <c r="H424" s="99" t="inlineStr">
        <is>
          <t>Q2 2025</t>
        </is>
      </c>
      <c r="I424" s="101" t="n">
        <v>21665.43</v>
      </c>
      <c r="J424" s="101" t="n">
        <v>20851.28</v>
      </c>
      <c r="K424" s="101" t="n">
        <v>0</v>
      </c>
      <c r="L424" s="165">
        <f>I424-J424</f>
        <v/>
      </c>
      <c r="M424" s="166">
        <f>IF(I424=0,0,ROUND((I424-J424)/I424,4))</f>
        <v/>
      </c>
      <c r="N424" s="104">
        <f>IF(I424=0,0,J424/I424)</f>
        <v/>
      </c>
      <c r="O424" s="105">
        <f>IF(L424&gt;=0,"Under","Over")</f>
        <v/>
      </c>
      <c r="P424" s="69">
        <f>IF(M424&lt;-0.05,"Watch","On Track")</f>
        <v/>
      </c>
    </row>
    <row r="425" ht="16" customHeight="1">
      <c r="A425" s="106" t="inlineStr">
        <is>
          <t>CC-00424</t>
        </is>
      </c>
      <c r="B425" s="71" t="inlineStr">
        <is>
          <t>EVT-2025-039</t>
        </is>
      </c>
      <c r="C425" s="70" t="inlineStr">
        <is>
          <t>Rarzolene Advisory Board Athens May 2025</t>
        </is>
      </c>
      <c r="D425" s="70" t="inlineStr">
        <is>
          <t>Rare Diseases</t>
        </is>
      </c>
      <c r="E425" s="70" t="inlineStr">
        <is>
          <t>BU Rare Diseases</t>
        </is>
      </c>
      <c r="F425" s="71" t="inlineStr">
        <is>
          <t>AV &amp; Technology</t>
        </is>
      </c>
      <c r="G425" s="71" t="inlineStr">
        <is>
          <t>May-2025</t>
        </is>
      </c>
      <c r="H425" s="71" t="inlineStr">
        <is>
          <t>Q2 2025</t>
        </is>
      </c>
      <c r="I425" s="73" t="n">
        <v>28887.24</v>
      </c>
      <c r="J425" s="73" t="n">
        <v>25414.08</v>
      </c>
      <c r="K425" s="73" t="n">
        <v>0</v>
      </c>
      <c r="L425" s="163">
        <f>I425-J425</f>
        <v/>
      </c>
      <c r="M425" s="161">
        <f>IF(I425=0,0,ROUND((I425-J425)/I425,4))</f>
        <v/>
      </c>
      <c r="N425" s="107">
        <f>IF(I425=0,0,J425/I425)</f>
        <v/>
      </c>
      <c r="O425" s="108">
        <f>IF(L425&gt;=0,"Under","Over")</f>
        <v/>
      </c>
      <c r="P425" s="69">
        <f>IF(M425&lt;-0.05,"Watch","On Track")</f>
        <v/>
      </c>
    </row>
    <row r="426" ht="16" customHeight="1">
      <c r="A426" s="98" t="inlineStr">
        <is>
          <t>CC-00425</t>
        </is>
      </c>
      <c r="B426" s="99" t="inlineStr">
        <is>
          <t>EVT-2025-039</t>
        </is>
      </c>
      <c r="C426" s="100" t="inlineStr">
        <is>
          <t>Rarzolene Advisory Board Athens May 2025</t>
        </is>
      </c>
      <c r="D426" s="100" t="inlineStr">
        <is>
          <t>Rare Diseases</t>
        </is>
      </c>
      <c r="E426" s="100" t="inlineStr">
        <is>
          <t>BU Rare Diseases</t>
        </is>
      </c>
      <c r="F426" s="99" t="inlineStr">
        <is>
          <t>Agency Fees</t>
        </is>
      </c>
      <c r="G426" s="99" t="inlineStr">
        <is>
          <t>May-2025</t>
        </is>
      </c>
      <c r="H426" s="99" t="inlineStr">
        <is>
          <t>Q2 2025</t>
        </is>
      </c>
      <c r="I426" s="101" t="n">
        <v>50552.68</v>
      </c>
      <c r="J426" s="101" t="n">
        <v>55424.19</v>
      </c>
      <c r="K426" s="101" t="n">
        <v>0</v>
      </c>
      <c r="L426" s="167">
        <f>I426-J426</f>
        <v/>
      </c>
      <c r="M426" s="168">
        <f>IF(I426=0,0,ROUND((I426-J426)/I426,4))</f>
        <v/>
      </c>
      <c r="N426" s="104">
        <f>IF(I426=0,0,J426/I426)</f>
        <v/>
      </c>
      <c r="O426" s="111">
        <f>IF(L426&gt;=0,"Under","Over")</f>
        <v/>
      </c>
      <c r="P426" s="76">
        <f>IF(M426&lt;-0.05,"Watch","On Track")</f>
        <v/>
      </c>
    </row>
    <row r="427" ht="16" customHeight="1">
      <c r="A427" s="106" t="inlineStr">
        <is>
          <t>CC-00426</t>
        </is>
      </c>
      <c r="B427" s="71" t="inlineStr">
        <is>
          <t>EVT-2025-039</t>
        </is>
      </c>
      <c r="C427" s="70" t="inlineStr">
        <is>
          <t>Rarzolene Advisory Board Athens May 2025</t>
        </is>
      </c>
      <c r="D427" s="70" t="inlineStr">
        <is>
          <t>Rare Diseases</t>
        </is>
      </c>
      <c r="E427" s="70" t="inlineStr">
        <is>
          <t>BU Rare Diseases</t>
        </is>
      </c>
      <c r="F427" s="71" t="inlineStr">
        <is>
          <t>Speaker Fees</t>
        </is>
      </c>
      <c r="G427" s="71" t="inlineStr">
        <is>
          <t>May-2025</t>
        </is>
      </c>
      <c r="H427" s="71" t="inlineStr">
        <is>
          <t>Q2 2025</t>
        </is>
      </c>
      <c r="I427" s="73" t="n">
        <v>36109.06</v>
      </c>
      <c r="J427" s="73" t="n">
        <v>26048.04</v>
      </c>
      <c r="K427" s="73" t="n">
        <v>0</v>
      </c>
      <c r="L427" s="163">
        <f>I427-J427</f>
        <v/>
      </c>
      <c r="M427" s="161">
        <f>IF(I427=0,0,ROUND((I427-J427)/I427,4))</f>
        <v/>
      </c>
      <c r="N427" s="107">
        <f>IF(I427=0,0,J427/I427)</f>
        <v/>
      </c>
      <c r="O427" s="108">
        <f>IF(L427&gt;=0,"Under","Over")</f>
        <v/>
      </c>
      <c r="P427" s="69">
        <f>IF(M427&lt;-0.05,"Watch","On Track")</f>
        <v/>
      </c>
    </row>
    <row r="428" ht="16" customHeight="1">
      <c r="A428" s="98" t="inlineStr">
        <is>
          <t>CC-00427</t>
        </is>
      </c>
      <c r="B428" s="99" t="inlineStr">
        <is>
          <t>EVT-2025-039</t>
        </is>
      </c>
      <c r="C428" s="100" t="inlineStr">
        <is>
          <t>Rarzolene Advisory Board Athens May 2025</t>
        </is>
      </c>
      <c r="D428" s="100" t="inlineStr">
        <is>
          <t>Rare Diseases</t>
        </is>
      </c>
      <c r="E428" s="100" t="inlineStr">
        <is>
          <t>BU Rare Diseases</t>
        </is>
      </c>
      <c r="F428" s="99" t="inlineStr">
        <is>
          <t>Translation</t>
        </is>
      </c>
      <c r="G428" s="99" t="inlineStr">
        <is>
          <t>May-2025</t>
        </is>
      </c>
      <c r="H428" s="99" t="inlineStr">
        <is>
          <t>Q2 2025</t>
        </is>
      </c>
      <c r="I428" s="101" t="n">
        <v>10832.72</v>
      </c>
      <c r="J428" s="101" t="n">
        <v>9322.120000000001</v>
      </c>
      <c r="K428" s="101" t="n">
        <v>0</v>
      </c>
      <c r="L428" s="165">
        <f>I428-J428</f>
        <v/>
      </c>
      <c r="M428" s="166">
        <f>IF(I428=0,0,ROUND((I428-J428)/I428,4))</f>
        <v/>
      </c>
      <c r="N428" s="104">
        <f>IF(I428=0,0,J428/I428)</f>
        <v/>
      </c>
      <c r="O428" s="105">
        <f>IF(L428&gt;=0,"Under","Over")</f>
        <v/>
      </c>
      <c r="P428" s="69">
        <f>IF(M428&lt;-0.05,"Watch","On Track")</f>
        <v/>
      </c>
    </row>
    <row r="429" ht="16" customHeight="1">
      <c r="A429" s="106" t="inlineStr">
        <is>
          <t>CC-00428</t>
        </is>
      </c>
      <c r="B429" s="71" t="inlineStr">
        <is>
          <t>EVT-2025-039</t>
        </is>
      </c>
      <c r="C429" s="70" t="inlineStr">
        <is>
          <t>Rarzolene Advisory Board Athens May 2025</t>
        </is>
      </c>
      <c r="D429" s="70" t="inlineStr">
        <is>
          <t>Rare Diseases</t>
        </is>
      </c>
      <c r="E429" s="70" t="inlineStr">
        <is>
          <t>BU Rare Diseases</t>
        </is>
      </c>
      <c r="F429" s="71" t="inlineStr">
        <is>
          <t>Print &amp; Production</t>
        </is>
      </c>
      <c r="G429" s="71" t="inlineStr">
        <is>
          <t>May-2025</t>
        </is>
      </c>
      <c r="H429" s="71" t="inlineStr">
        <is>
          <t>Q2 2025</t>
        </is>
      </c>
      <c r="I429" s="73" t="n">
        <v>7221.81</v>
      </c>
      <c r="J429" s="73" t="n">
        <v>6807.7</v>
      </c>
      <c r="K429" s="73" t="n">
        <v>0</v>
      </c>
      <c r="L429" s="163">
        <f>I429-J429</f>
        <v/>
      </c>
      <c r="M429" s="161">
        <f>IF(I429=0,0,ROUND((I429-J429)/I429,4))</f>
        <v/>
      </c>
      <c r="N429" s="107">
        <f>IF(I429=0,0,J429/I429)</f>
        <v/>
      </c>
      <c r="O429" s="108">
        <f>IF(L429&gt;=0,"Under","Over")</f>
        <v/>
      </c>
      <c r="P429" s="69">
        <f>IF(M429&lt;-0.05,"Watch","On Track")</f>
        <v/>
      </c>
    </row>
    <row r="430" ht="16" customHeight="1">
      <c r="A430" s="98" t="inlineStr">
        <is>
          <t>CC-00429</t>
        </is>
      </c>
      <c r="B430" s="99" t="inlineStr">
        <is>
          <t>EVT-2025-039</t>
        </is>
      </c>
      <c r="C430" s="100" t="inlineStr">
        <is>
          <t>Rarzolene Advisory Board Athens May 2025</t>
        </is>
      </c>
      <c r="D430" s="100" t="inlineStr">
        <is>
          <t>Rare Diseases</t>
        </is>
      </c>
      <c r="E430" s="100" t="inlineStr">
        <is>
          <t>BU Rare Diseases</t>
        </is>
      </c>
      <c r="F430" s="99" t="inlineStr">
        <is>
          <t>Miscellaneous</t>
        </is>
      </c>
      <c r="G430" s="99" t="inlineStr">
        <is>
          <t>May-2025</t>
        </is>
      </c>
      <c r="H430" s="99" t="inlineStr">
        <is>
          <t>Q2 2025</t>
        </is>
      </c>
      <c r="I430" s="101" t="n">
        <v>7221.81</v>
      </c>
      <c r="J430" s="101" t="n">
        <v>4945.14</v>
      </c>
      <c r="K430" s="101" t="n">
        <v>0</v>
      </c>
      <c r="L430" s="165">
        <f>I430-J430</f>
        <v/>
      </c>
      <c r="M430" s="166">
        <f>IF(I430=0,0,ROUND((I430-J430)/I430,4))</f>
        <v/>
      </c>
      <c r="N430" s="104">
        <f>IF(I430=0,0,J430/I430)</f>
        <v/>
      </c>
      <c r="O430" s="105">
        <f>IF(L430&gt;=0,"Under","Over")</f>
        <v/>
      </c>
      <c r="P430" s="69">
        <f>IF(M430&lt;-0.05,"Watch","On Track")</f>
        <v/>
      </c>
    </row>
    <row r="431" ht="16" customHeight="1">
      <c r="A431" s="106" t="inlineStr">
        <is>
          <t>CC-00430</t>
        </is>
      </c>
      <c r="B431" s="71" t="inlineStr">
        <is>
          <t>EVT-2025-040</t>
        </is>
      </c>
      <c r="C431" s="70" t="inlineStr">
        <is>
          <t>Rarzolene Symposium Istanbul Dec 2025</t>
        </is>
      </c>
      <c r="D431" s="70" t="inlineStr">
        <is>
          <t>Rare Diseases</t>
        </is>
      </c>
      <c r="E431" s="70" t="inlineStr">
        <is>
          <t>BU Rare Diseases</t>
        </is>
      </c>
      <c r="F431" s="71" t="inlineStr">
        <is>
          <t>Airfare</t>
        </is>
      </c>
      <c r="G431" s="71" t="inlineStr">
        <is>
          <t>Dec-2025</t>
        </is>
      </c>
      <c r="H431" s="71" t="inlineStr">
        <is>
          <t>Q4 2025</t>
        </is>
      </c>
      <c r="I431" s="73" t="n">
        <v>5003.08</v>
      </c>
      <c r="J431" s="73" t="n">
        <v>3674.56</v>
      </c>
      <c r="K431" s="73" t="n">
        <v>2868.08</v>
      </c>
      <c r="L431" s="163">
        <f>I431-J431</f>
        <v/>
      </c>
      <c r="M431" s="161">
        <f>IF(I431=0,0,ROUND((I431-J431)/I431,4))</f>
        <v/>
      </c>
      <c r="N431" s="107">
        <f>IF(I431=0,0,J431/I431)</f>
        <v/>
      </c>
      <c r="O431" s="108">
        <f>IF(L431&gt;=0,"Under","Over")</f>
        <v/>
      </c>
      <c r="P431" s="69">
        <f>IF(M431&lt;-0.05,"Watch","On Track")</f>
        <v/>
      </c>
    </row>
    <row r="432" ht="16" customHeight="1">
      <c r="A432" s="98" t="inlineStr">
        <is>
          <t>CC-00431</t>
        </is>
      </c>
      <c r="B432" s="99" t="inlineStr">
        <is>
          <t>EVT-2025-040</t>
        </is>
      </c>
      <c r="C432" s="100" t="inlineStr">
        <is>
          <t>Rarzolene Symposium Istanbul Dec 2025</t>
        </is>
      </c>
      <c r="D432" s="100" t="inlineStr">
        <is>
          <t>Rare Diseases</t>
        </is>
      </c>
      <c r="E432" s="100" t="inlineStr">
        <is>
          <t>BU Rare Diseases</t>
        </is>
      </c>
      <c r="F432" s="99" t="inlineStr">
        <is>
          <t>Hotel</t>
        </is>
      </c>
      <c r="G432" s="99" t="inlineStr">
        <is>
          <t>Dec-2025</t>
        </is>
      </c>
      <c r="H432" s="99" t="inlineStr">
        <is>
          <t>Q4 2025</t>
        </is>
      </c>
      <c r="I432" s="101" t="n">
        <v>9005.540000000001</v>
      </c>
      <c r="J432" s="101" t="n">
        <v>6060.43</v>
      </c>
      <c r="K432" s="101" t="n">
        <v>4546.31</v>
      </c>
      <c r="L432" s="165">
        <f>I432-J432</f>
        <v/>
      </c>
      <c r="M432" s="166">
        <f>IF(I432=0,0,ROUND((I432-J432)/I432,4))</f>
        <v/>
      </c>
      <c r="N432" s="104">
        <f>IF(I432=0,0,J432/I432)</f>
        <v/>
      </c>
      <c r="O432" s="105">
        <f>IF(L432&gt;=0,"Under","Over")</f>
        <v/>
      </c>
      <c r="P432" s="69">
        <f>IF(M432&lt;-0.05,"Watch","On Track")</f>
        <v/>
      </c>
    </row>
    <row r="433" ht="16" customHeight="1">
      <c r="A433" s="106" t="inlineStr">
        <is>
          <t>CC-00432</t>
        </is>
      </c>
      <c r="B433" s="71" t="inlineStr">
        <is>
          <t>EVT-2025-040</t>
        </is>
      </c>
      <c r="C433" s="70" t="inlineStr">
        <is>
          <t>Rarzolene Symposium Istanbul Dec 2025</t>
        </is>
      </c>
      <c r="D433" s="70" t="inlineStr">
        <is>
          <t>Rare Diseases</t>
        </is>
      </c>
      <c r="E433" s="70" t="inlineStr">
        <is>
          <t>BU Rare Diseases</t>
        </is>
      </c>
      <c r="F433" s="71" t="inlineStr">
        <is>
          <t>Venue</t>
        </is>
      </c>
      <c r="G433" s="71" t="inlineStr">
        <is>
          <t>Dec-2025</t>
        </is>
      </c>
      <c r="H433" s="71" t="inlineStr">
        <is>
          <t>Q4 2025</t>
        </is>
      </c>
      <c r="I433" s="73" t="n">
        <v>7504.62</v>
      </c>
      <c r="J433" s="73" t="n">
        <v>5538.27</v>
      </c>
      <c r="K433" s="73" t="n">
        <v>4374.82</v>
      </c>
      <c r="L433" s="163">
        <f>I433-J433</f>
        <v/>
      </c>
      <c r="M433" s="161">
        <f>IF(I433=0,0,ROUND((I433-J433)/I433,4))</f>
        <v/>
      </c>
      <c r="N433" s="107">
        <f>IF(I433=0,0,J433/I433)</f>
        <v/>
      </c>
      <c r="O433" s="108">
        <f>IF(L433&gt;=0,"Under","Over")</f>
        <v/>
      </c>
      <c r="P433" s="69">
        <f>IF(M433&lt;-0.05,"Watch","On Track")</f>
        <v/>
      </c>
    </row>
    <row r="434" ht="16" customHeight="1">
      <c r="A434" s="98" t="inlineStr">
        <is>
          <t>CC-00433</t>
        </is>
      </c>
      <c r="B434" s="99" t="inlineStr">
        <is>
          <t>EVT-2025-040</t>
        </is>
      </c>
      <c r="C434" s="100" t="inlineStr">
        <is>
          <t>Rarzolene Symposium Istanbul Dec 2025</t>
        </is>
      </c>
      <c r="D434" s="100" t="inlineStr">
        <is>
          <t>Rare Diseases</t>
        </is>
      </c>
      <c r="E434" s="100" t="inlineStr">
        <is>
          <t>BU Rare Diseases</t>
        </is>
      </c>
      <c r="F434" s="99" t="inlineStr">
        <is>
          <t>F&amp;B</t>
        </is>
      </c>
      <c r="G434" s="99" t="inlineStr">
        <is>
          <t>Dec-2025</t>
        </is>
      </c>
      <c r="H434" s="99" t="inlineStr">
        <is>
          <t>Q4 2025</t>
        </is>
      </c>
      <c r="I434" s="101" t="n">
        <v>6003.69</v>
      </c>
      <c r="J434" s="101" t="n">
        <v>5951.66</v>
      </c>
      <c r="K434" s="101" t="n">
        <v>4810.95</v>
      </c>
      <c r="L434" s="165">
        <f>I434-J434</f>
        <v/>
      </c>
      <c r="M434" s="166">
        <f>IF(I434=0,0,ROUND((I434-J434)/I434,4))</f>
        <v/>
      </c>
      <c r="N434" s="104">
        <f>IF(I434=0,0,J434/I434)</f>
        <v/>
      </c>
      <c r="O434" s="105">
        <f>IF(L434&gt;=0,"Under","Over")</f>
        <v/>
      </c>
      <c r="P434" s="69">
        <f>IF(M434&lt;-0.05,"Watch","On Track")</f>
        <v/>
      </c>
    </row>
    <row r="435" ht="16" customHeight="1">
      <c r="A435" s="106" t="inlineStr">
        <is>
          <t>CC-00434</t>
        </is>
      </c>
      <c r="B435" s="71" t="inlineStr">
        <is>
          <t>EVT-2025-040</t>
        </is>
      </c>
      <c r="C435" s="70" t="inlineStr">
        <is>
          <t>Rarzolene Symposium Istanbul Dec 2025</t>
        </is>
      </c>
      <c r="D435" s="70" t="inlineStr">
        <is>
          <t>Rare Diseases</t>
        </is>
      </c>
      <c r="E435" s="70" t="inlineStr">
        <is>
          <t>BU Rare Diseases</t>
        </is>
      </c>
      <c r="F435" s="71" t="inlineStr">
        <is>
          <t>Logistics</t>
        </is>
      </c>
      <c r="G435" s="71" t="inlineStr">
        <is>
          <t>Dec-2025</t>
        </is>
      </c>
      <c r="H435" s="71" t="inlineStr">
        <is>
          <t>Q4 2025</t>
        </is>
      </c>
      <c r="I435" s="73" t="n">
        <v>3001.85</v>
      </c>
      <c r="J435" s="73" t="n">
        <v>3218.32</v>
      </c>
      <c r="K435" s="73" t="n">
        <v>2948.85</v>
      </c>
      <c r="L435" s="158">
        <f>I435-J435</f>
        <v/>
      </c>
      <c r="M435" s="159">
        <f>IF(I435=0,0,ROUND((I435-J435)/I435,4))</f>
        <v/>
      </c>
      <c r="N435" s="107">
        <f>IF(I435=0,0,J435/I435)</f>
        <v/>
      </c>
      <c r="O435" s="112">
        <f>IF(L435&gt;=0,"Under","Over")</f>
        <v/>
      </c>
      <c r="P435" s="76">
        <f>IF(M435&lt;-0.05,"Watch","On Track")</f>
        <v/>
      </c>
    </row>
    <row r="436" ht="16" customHeight="1">
      <c r="A436" s="98" t="inlineStr">
        <is>
          <t>CC-00435</t>
        </is>
      </c>
      <c r="B436" s="99" t="inlineStr">
        <is>
          <t>EVT-2025-040</t>
        </is>
      </c>
      <c r="C436" s="100" t="inlineStr">
        <is>
          <t>Rarzolene Symposium Istanbul Dec 2025</t>
        </is>
      </c>
      <c r="D436" s="100" t="inlineStr">
        <is>
          <t>Rare Diseases</t>
        </is>
      </c>
      <c r="E436" s="100" t="inlineStr">
        <is>
          <t>BU Rare Diseases</t>
        </is>
      </c>
      <c r="F436" s="99" t="inlineStr">
        <is>
          <t>AV &amp; Technology</t>
        </is>
      </c>
      <c r="G436" s="99" t="inlineStr">
        <is>
          <t>Dec-2025</t>
        </is>
      </c>
      <c r="H436" s="99" t="inlineStr">
        <is>
          <t>Q4 2025</t>
        </is>
      </c>
      <c r="I436" s="101" t="n">
        <v>4002.46</v>
      </c>
      <c r="J436" s="101" t="n">
        <v>3393.69</v>
      </c>
      <c r="K436" s="101" t="n">
        <v>3003.42</v>
      </c>
      <c r="L436" s="165">
        <f>I436-J436</f>
        <v/>
      </c>
      <c r="M436" s="166">
        <f>IF(I436=0,0,ROUND((I436-J436)/I436,4))</f>
        <v/>
      </c>
      <c r="N436" s="104">
        <f>IF(I436=0,0,J436/I436)</f>
        <v/>
      </c>
      <c r="O436" s="105">
        <f>IF(L436&gt;=0,"Under","Over")</f>
        <v/>
      </c>
      <c r="P436" s="69">
        <f>IF(M436&lt;-0.05,"Watch","On Track")</f>
        <v/>
      </c>
    </row>
    <row r="437" ht="16" customHeight="1">
      <c r="A437" s="106" t="inlineStr">
        <is>
          <t>CC-00436</t>
        </is>
      </c>
      <c r="B437" s="71" t="inlineStr">
        <is>
          <t>EVT-2025-040</t>
        </is>
      </c>
      <c r="C437" s="70" t="inlineStr">
        <is>
          <t>Rarzolene Symposium Istanbul Dec 2025</t>
        </is>
      </c>
      <c r="D437" s="70" t="inlineStr">
        <is>
          <t>Rare Diseases</t>
        </is>
      </c>
      <c r="E437" s="70" t="inlineStr">
        <is>
          <t>BU Rare Diseases</t>
        </is>
      </c>
      <c r="F437" s="71" t="inlineStr">
        <is>
          <t>Agency Fees</t>
        </is>
      </c>
      <c r="G437" s="71" t="inlineStr">
        <is>
          <t>Dec-2025</t>
        </is>
      </c>
      <c r="H437" s="71" t="inlineStr">
        <is>
          <t>Q4 2025</t>
        </is>
      </c>
      <c r="I437" s="73" t="n">
        <v>7004.31</v>
      </c>
      <c r="J437" s="73" t="n">
        <v>5806.09</v>
      </c>
      <c r="K437" s="73" t="n">
        <v>4300.26</v>
      </c>
      <c r="L437" s="163">
        <f>I437-J437</f>
        <v/>
      </c>
      <c r="M437" s="161">
        <f>IF(I437=0,0,ROUND((I437-J437)/I437,4))</f>
        <v/>
      </c>
      <c r="N437" s="107">
        <f>IF(I437=0,0,J437/I437)</f>
        <v/>
      </c>
      <c r="O437" s="108">
        <f>IF(L437&gt;=0,"Under","Over")</f>
        <v/>
      </c>
      <c r="P437" s="69">
        <f>IF(M437&lt;-0.05,"Watch","On Track")</f>
        <v/>
      </c>
    </row>
    <row r="438" ht="16" customHeight="1">
      <c r="A438" s="98" t="inlineStr">
        <is>
          <t>CC-00437</t>
        </is>
      </c>
      <c r="B438" s="99" t="inlineStr">
        <is>
          <t>EVT-2025-040</t>
        </is>
      </c>
      <c r="C438" s="100" t="inlineStr">
        <is>
          <t>Rarzolene Symposium Istanbul Dec 2025</t>
        </is>
      </c>
      <c r="D438" s="100" t="inlineStr">
        <is>
          <t>Rare Diseases</t>
        </is>
      </c>
      <c r="E438" s="100" t="inlineStr">
        <is>
          <t>BU Rare Diseases</t>
        </is>
      </c>
      <c r="F438" s="99" t="inlineStr">
        <is>
          <t>Speaker Fees</t>
        </is>
      </c>
      <c r="G438" s="99" t="inlineStr">
        <is>
          <t>Dec-2025</t>
        </is>
      </c>
      <c r="H438" s="99" t="inlineStr">
        <is>
          <t>Q4 2025</t>
        </is>
      </c>
      <c r="I438" s="101" t="n">
        <v>5003.08</v>
      </c>
      <c r="J438" s="101" t="n">
        <v>3018.78</v>
      </c>
      <c r="K438" s="101" t="n">
        <v>2471.5</v>
      </c>
      <c r="L438" s="165">
        <f>I438-J438</f>
        <v/>
      </c>
      <c r="M438" s="166">
        <f>IF(I438=0,0,ROUND((I438-J438)/I438,4))</f>
        <v/>
      </c>
      <c r="N438" s="104">
        <f>IF(I438=0,0,J438/I438)</f>
        <v/>
      </c>
      <c r="O438" s="105">
        <f>IF(L438&gt;=0,"Under","Over")</f>
        <v/>
      </c>
      <c r="P438" s="69">
        <f>IF(M438&lt;-0.05,"Watch","On Track")</f>
        <v/>
      </c>
    </row>
    <row r="439" ht="16" customHeight="1">
      <c r="A439" s="106" t="inlineStr">
        <is>
          <t>CC-00438</t>
        </is>
      </c>
      <c r="B439" s="71" t="inlineStr">
        <is>
          <t>EVT-2025-040</t>
        </is>
      </c>
      <c r="C439" s="70" t="inlineStr">
        <is>
          <t>Rarzolene Symposium Istanbul Dec 2025</t>
        </is>
      </c>
      <c r="D439" s="70" t="inlineStr">
        <is>
          <t>Rare Diseases</t>
        </is>
      </c>
      <c r="E439" s="70" t="inlineStr">
        <is>
          <t>BU Rare Diseases</t>
        </is>
      </c>
      <c r="F439" s="71" t="inlineStr">
        <is>
          <t>Translation</t>
        </is>
      </c>
      <c r="G439" s="71" t="inlineStr">
        <is>
          <t>Dec-2025</t>
        </is>
      </c>
      <c r="H439" s="71" t="inlineStr">
        <is>
          <t>Q4 2025</t>
        </is>
      </c>
      <c r="I439" s="73" t="n">
        <v>1500.92</v>
      </c>
      <c r="J439" s="73" t="n">
        <v>1532.15</v>
      </c>
      <c r="K439" s="73" t="n">
        <v>1247.12</v>
      </c>
      <c r="L439" s="158">
        <f>I439-J439</f>
        <v/>
      </c>
      <c r="M439" s="161">
        <f>IF(I439=0,0,ROUND((I439-J439)/I439,4))</f>
        <v/>
      </c>
      <c r="N439" s="107">
        <f>IF(I439=0,0,J439/I439)</f>
        <v/>
      </c>
      <c r="O439" s="112">
        <f>IF(L439&gt;=0,"Under","Over")</f>
        <v/>
      </c>
      <c r="P439" s="69">
        <f>IF(M439&lt;-0.05,"Watch","On Track")</f>
        <v/>
      </c>
    </row>
    <row r="440" ht="16" customHeight="1">
      <c r="A440" s="98" t="inlineStr">
        <is>
          <t>CC-00439</t>
        </is>
      </c>
      <c r="B440" s="99" t="inlineStr">
        <is>
          <t>EVT-2025-040</t>
        </is>
      </c>
      <c r="C440" s="100" t="inlineStr">
        <is>
          <t>Rarzolene Symposium Istanbul Dec 2025</t>
        </is>
      </c>
      <c r="D440" s="100" t="inlineStr">
        <is>
          <t>Rare Diseases</t>
        </is>
      </c>
      <c r="E440" s="100" t="inlineStr">
        <is>
          <t>BU Rare Diseases</t>
        </is>
      </c>
      <c r="F440" s="99" t="inlineStr">
        <is>
          <t>Print &amp; Production</t>
        </is>
      </c>
      <c r="G440" s="99" t="inlineStr">
        <is>
          <t>Dec-2025</t>
        </is>
      </c>
      <c r="H440" s="99" t="inlineStr">
        <is>
          <t>Q4 2025</t>
        </is>
      </c>
      <c r="I440" s="101" t="n">
        <v>1000.62</v>
      </c>
      <c r="J440" s="101" t="n">
        <v>1031.74</v>
      </c>
      <c r="K440" s="101" t="n">
        <v>858.48</v>
      </c>
      <c r="L440" s="167">
        <f>I440-J440</f>
        <v/>
      </c>
      <c r="M440" s="166">
        <f>IF(I440=0,0,ROUND((I440-J440)/I440,4))</f>
        <v/>
      </c>
      <c r="N440" s="104">
        <f>IF(I440=0,0,J440/I440)</f>
        <v/>
      </c>
      <c r="O440" s="111">
        <f>IF(L440&gt;=0,"Under","Over")</f>
        <v/>
      </c>
      <c r="P440" s="69">
        <f>IF(M440&lt;-0.05,"Watch","On Track")</f>
        <v/>
      </c>
    </row>
    <row r="441" ht="16" customHeight="1">
      <c r="A441" s="106" t="inlineStr">
        <is>
          <t>CC-00440</t>
        </is>
      </c>
      <c r="B441" s="71" t="inlineStr">
        <is>
          <t>EVT-2025-040</t>
        </is>
      </c>
      <c r="C441" s="70" t="inlineStr">
        <is>
          <t>Rarzolene Symposium Istanbul Dec 2025</t>
        </is>
      </c>
      <c r="D441" s="70" t="inlineStr">
        <is>
          <t>Rare Diseases</t>
        </is>
      </c>
      <c r="E441" s="70" t="inlineStr">
        <is>
          <t>BU Rare Diseases</t>
        </is>
      </c>
      <c r="F441" s="71" t="inlineStr">
        <is>
          <t>Miscellaneous</t>
        </is>
      </c>
      <c r="G441" s="71" t="inlineStr">
        <is>
          <t>Dec-2025</t>
        </is>
      </c>
      <c r="H441" s="71" t="inlineStr">
        <is>
          <t>Q4 2025</t>
        </is>
      </c>
      <c r="I441" s="73" t="n">
        <v>1000.62</v>
      </c>
      <c r="J441" s="73" t="n">
        <v>815.8099999999999</v>
      </c>
      <c r="K441" s="73" t="n">
        <v>772.62</v>
      </c>
      <c r="L441" s="163">
        <f>I441-J441</f>
        <v/>
      </c>
      <c r="M441" s="161">
        <f>IF(I441=0,0,ROUND((I441-J441)/I441,4))</f>
        <v/>
      </c>
      <c r="N441" s="107">
        <f>IF(I441=0,0,J441/I441)</f>
        <v/>
      </c>
      <c r="O441" s="108">
        <f>IF(L441&gt;=0,"Under","Over")</f>
        <v/>
      </c>
      <c r="P441" s="69">
        <f>IF(M441&lt;-0.05,"Watch","On Track")</f>
        <v/>
      </c>
    </row>
    <row r="442" ht="16" customHeight="1">
      <c r="A442" s="98" t="inlineStr">
        <is>
          <t>CC-00441</t>
        </is>
      </c>
      <c r="B442" s="99" t="inlineStr">
        <is>
          <t>EVT-2025-041</t>
        </is>
      </c>
      <c r="C442" s="100" t="inlineStr">
        <is>
          <t>Cognivex Congress Brussels Oct 2025</t>
        </is>
      </c>
      <c r="D442" s="100" t="inlineStr">
        <is>
          <t>Neurology</t>
        </is>
      </c>
      <c r="E442" s="100" t="inlineStr">
        <is>
          <t>BU Neuroscience</t>
        </is>
      </c>
      <c r="F442" s="99" t="inlineStr">
        <is>
          <t>Airfare</t>
        </is>
      </c>
      <c r="G442" s="99" t="inlineStr">
        <is>
          <t>Oct-2025</t>
        </is>
      </c>
      <c r="H442" s="99" t="inlineStr">
        <is>
          <t>Q4 2025</t>
        </is>
      </c>
      <c r="I442" s="101" t="n">
        <v>3488.46</v>
      </c>
      <c r="J442" s="101" t="n">
        <v>3228.63</v>
      </c>
      <c r="K442" s="101" t="n">
        <v>0</v>
      </c>
      <c r="L442" s="165">
        <f>I442-J442</f>
        <v/>
      </c>
      <c r="M442" s="166">
        <f>IF(I442=0,0,ROUND((I442-J442)/I442,4))</f>
        <v/>
      </c>
      <c r="N442" s="104">
        <f>IF(I442=0,0,J442/I442)</f>
        <v/>
      </c>
      <c r="O442" s="105">
        <f>IF(L442&gt;=0,"Under","Over")</f>
        <v/>
      </c>
      <c r="P442" s="69">
        <f>IF(M442&lt;-0.05,"Watch","On Track")</f>
        <v/>
      </c>
    </row>
    <row r="443" ht="16" customHeight="1">
      <c r="A443" s="106" t="inlineStr">
        <is>
          <t>CC-00442</t>
        </is>
      </c>
      <c r="B443" s="71" t="inlineStr">
        <is>
          <t>EVT-2025-041</t>
        </is>
      </c>
      <c r="C443" s="70" t="inlineStr">
        <is>
          <t>Cognivex Congress Brussels Oct 2025</t>
        </is>
      </c>
      <c r="D443" s="70" t="inlineStr">
        <is>
          <t>Neurology</t>
        </is>
      </c>
      <c r="E443" s="70" t="inlineStr">
        <is>
          <t>BU Neuroscience</t>
        </is>
      </c>
      <c r="F443" s="71" t="inlineStr">
        <is>
          <t>Hotel</t>
        </is>
      </c>
      <c r="G443" s="71" t="inlineStr">
        <is>
          <t>Oct-2025</t>
        </is>
      </c>
      <c r="H443" s="71" t="inlineStr">
        <is>
          <t>Q4 2025</t>
        </is>
      </c>
      <c r="I443" s="73" t="n">
        <v>6279.23</v>
      </c>
      <c r="J443" s="73" t="n">
        <v>5633.7</v>
      </c>
      <c r="K443" s="73" t="n">
        <v>0</v>
      </c>
      <c r="L443" s="163">
        <f>I443-J443</f>
        <v/>
      </c>
      <c r="M443" s="161">
        <f>IF(I443=0,0,ROUND((I443-J443)/I443,4))</f>
        <v/>
      </c>
      <c r="N443" s="107">
        <f>IF(I443=0,0,J443/I443)</f>
        <v/>
      </c>
      <c r="O443" s="108">
        <f>IF(L443&gt;=0,"Under","Over")</f>
        <v/>
      </c>
      <c r="P443" s="69">
        <f>IF(M443&lt;-0.05,"Watch","On Track")</f>
        <v/>
      </c>
    </row>
    <row r="444" ht="16" customHeight="1">
      <c r="A444" s="98" t="inlineStr">
        <is>
          <t>CC-00443</t>
        </is>
      </c>
      <c r="B444" s="99" t="inlineStr">
        <is>
          <t>EVT-2025-041</t>
        </is>
      </c>
      <c r="C444" s="100" t="inlineStr">
        <is>
          <t>Cognivex Congress Brussels Oct 2025</t>
        </is>
      </c>
      <c r="D444" s="100" t="inlineStr">
        <is>
          <t>Neurology</t>
        </is>
      </c>
      <c r="E444" s="100" t="inlineStr">
        <is>
          <t>BU Neuroscience</t>
        </is>
      </c>
      <c r="F444" s="99" t="inlineStr">
        <is>
          <t>Venue</t>
        </is>
      </c>
      <c r="G444" s="99" t="inlineStr">
        <is>
          <t>Oct-2025</t>
        </is>
      </c>
      <c r="H444" s="99" t="inlineStr">
        <is>
          <t>Q4 2025</t>
        </is>
      </c>
      <c r="I444" s="101" t="n">
        <v>5232.69</v>
      </c>
      <c r="J444" s="101" t="n">
        <v>3925.66</v>
      </c>
      <c r="K444" s="101" t="n">
        <v>0</v>
      </c>
      <c r="L444" s="165">
        <f>I444-J444</f>
        <v/>
      </c>
      <c r="M444" s="166">
        <f>IF(I444=0,0,ROUND((I444-J444)/I444,4))</f>
        <v/>
      </c>
      <c r="N444" s="104">
        <f>IF(I444=0,0,J444/I444)</f>
        <v/>
      </c>
      <c r="O444" s="105">
        <f>IF(L444&gt;=0,"Under","Over")</f>
        <v/>
      </c>
      <c r="P444" s="69">
        <f>IF(M444&lt;-0.05,"Watch","On Track")</f>
        <v/>
      </c>
    </row>
    <row r="445" ht="16" customHeight="1">
      <c r="A445" s="106" t="inlineStr">
        <is>
          <t>CC-00444</t>
        </is>
      </c>
      <c r="B445" s="71" t="inlineStr">
        <is>
          <t>EVT-2025-041</t>
        </is>
      </c>
      <c r="C445" s="70" t="inlineStr">
        <is>
          <t>Cognivex Congress Brussels Oct 2025</t>
        </is>
      </c>
      <c r="D445" s="70" t="inlineStr">
        <is>
          <t>Neurology</t>
        </is>
      </c>
      <c r="E445" s="70" t="inlineStr">
        <is>
          <t>BU Neuroscience</t>
        </is>
      </c>
      <c r="F445" s="71" t="inlineStr">
        <is>
          <t>F&amp;B</t>
        </is>
      </c>
      <c r="G445" s="71" t="inlineStr">
        <is>
          <t>Oct-2025</t>
        </is>
      </c>
      <c r="H445" s="71" t="inlineStr">
        <is>
          <t>Q4 2025</t>
        </is>
      </c>
      <c r="I445" s="73" t="n">
        <v>4186.16</v>
      </c>
      <c r="J445" s="73" t="n">
        <v>3774.27</v>
      </c>
      <c r="K445" s="73" t="n">
        <v>0</v>
      </c>
      <c r="L445" s="163">
        <f>I445-J445</f>
        <v/>
      </c>
      <c r="M445" s="161">
        <f>IF(I445=0,0,ROUND((I445-J445)/I445,4))</f>
        <v/>
      </c>
      <c r="N445" s="107">
        <f>IF(I445=0,0,J445/I445)</f>
        <v/>
      </c>
      <c r="O445" s="108">
        <f>IF(L445&gt;=0,"Under","Over")</f>
        <v/>
      </c>
      <c r="P445" s="69">
        <f>IF(M445&lt;-0.05,"Watch","On Track")</f>
        <v/>
      </c>
    </row>
    <row r="446" ht="16" customHeight="1">
      <c r="A446" s="98" t="inlineStr">
        <is>
          <t>CC-00445</t>
        </is>
      </c>
      <c r="B446" s="99" t="inlineStr">
        <is>
          <t>EVT-2025-041</t>
        </is>
      </c>
      <c r="C446" s="100" t="inlineStr">
        <is>
          <t>Cognivex Congress Brussels Oct 2025</t>
        </is>
      </c>
      <c r="D446" s="100" t="inlineStr">
        <is>
          <t>Neurology</t>
        </is>
      </c>
      <c r="E446" s="100" t="inlineStr">
        <is>
          <t>BU Neuroscience</t>
        </is>
      </c>
      <c r="F446" s="99" t="inlineStr">
        <is>
          <t>Logistics</t>
        </is>
      </c>
      <c r="G446" s="99" t="inlineStr">
        <is>
          <t>Oct-2025</t>
        </is>
      </c>
      <c r="H446" s="99" t="inlineStr">
        <is>
          <t>Q4 2025</t>
        </is>
      </c>
      <c r="I446" s="101" t="n">
        <v>2093.08</v>
      </c>
      <c r="J446" s="101" t="n">
        <v>1983.5</v>
      </c>
      <c r="K446" s="101" t="n">
        <v>0</v>
      </c>
      <c r="L446" s="165">
        <f>I446-J446</f>
        <v/>
      </c>
      <c r="M446" s="166">
        <f>IF(I446=0,0,ROUND((I446-J446)/I446,4))</f>
        <v/>
      </c>
      <c r="N446" s="104">
        <f>IF(I446=0,0,J446/I446)</f>
        <v/>
      </c>
      <c r="O446" s="105">
        <f>IF(L446&gt;=0,"Under","Over")</f>
        <v/>
      </c>
      <c r="P446" s="69">
        <f>IF(M446&lt;-0.05,"Watch","On Track")</f>
        <v/>
      </c>
    </row>
    <row r="447" ht="16" customHeight="1">
      <c r="A447" s="106" t="inlineStr">
        <is>
          <t>CC-00446</t>
        </is>
      </c>
      <c r="B447" s="71" t="inlineStr">
        <is>
          <t>EVT-2025-041</t>
        </is>
      </c>
      <c r="C447" s="70" t="inlineStr">
        <is>
          <t>Cognivex Congress Brussels Oct 2025</t>
        </is>
      </c>
      <c r="D447" s="70" t="inlineStr">
        <is>
          <t>Neurology</t>
        </is>
      </c>
      <c r="E447" s="70" t="inlineStr">
        <is>
          <t>BU Neuroscience</t>
        </is>
      </c>
      <c r="F447" s="71" t="inlineStr">
        <is>
          <t>AV &amp; Technology</t>
        </is>
      </c>
      <c r="G447" s="71" t="inlineStr">
        <is>
          <t>Oct-2025</t>
        </is>
      </c>
      <c r="H447" s="71" t="inlineStr">
        <is>
          <t>Q4 2025</t>
        </is>
      </c>
      <c r="I447" s="73" t="n">
        <v>2790.77</v>
      </c>
      <c r="J447" s="73" t="n">
        <v>2342.87</v>
      </c>
      <c r="K447" s="73" t="n">
        <v>0</v>
      </c>
      <c r="L447" s="163">
        <f>I447-J447</f>
        <v/>
      </c>
      <c r="M447" s="161">
        <f>IF(I447=0,0,ROUND((I447-J447)/I447,4))</f>
        <v/>
      </c>
      <c r="N447" s="107">
        <f>IF(I447=0,0,J447/I447)</f>
        <v/>
      </c>
      <c r="O447" s="108">
        <f>IF(L447&gt;=0,"Under","Over")</f>
        <v/>
      </c>
      <c r="P447" s="69">
        <f>IF(M447&lt;-0.05,"Watch","On Track")</f>
        <v/>
      </c>
    </row>
    <row r="448" ht="16" customHeight="1">
      <c r="A448" s="98" t="inlineStr">
        <is>
          <t>CC-00447</t>
        </is>
      </c>
      <c r="B448" s="99" t="inlineStr">
        <is>
          <t>EVT-2025-041</t>
        </is>
      </c>
      <c r="C448" s="100" t="inlineStr">
        <is>
          <t>Cognivex Congress Brussels Oct 2025</t>
        </is>
      </c>
      <c r="D448" s="100" t="inlineStr">
        <is>
          <t>Neurology</t>
        </is>
      </c>
      <c r="E448" s="100" t="inlineStr">
        <is>
          <t>BU Neuroscience</t>
        </is>
      </c>
      <c r="F448" s="99" t="inlineStr">
        <is>
          <t>Agency Fees</t>
        </is>
      </c>
      <c r="G448" s="99" t="inlineStr">
        <is>
          <t>Oct-2025</t>
        </is>
      </c>
      <c r="H448" s="99" t="inlineStr">
        <is>
          <t>Q4 2025</t>
        </is>
      </c>
      <c r="I448" s="101" t="n">
        <v>4883.85</v>
      </c>
      <c r="J448" s="101" t="n">
        <v>3364.09</v>
      </c>
      <c r="K448" s="101" t="n">
        <v>0</v>
      </c>
      <c r="L448" s="165">
        <f>I448-J448</f>
        <v/>
      </c>
      <c r="M448" s="166">
        <f>IF(I448=0,0,ROUND((I448-J448)/I448,4))</f>
        <v/>
      </c>
      <c r="N448" s="104">
        <f>IF(I448=0,0,J448/I448)</f>
        <v/>
      </c>
      <c r="O448" s="105">
        <f>IF(L448&gt;=0,"Under","Over")</f>
        <v/>
      </c>
      <c r="P448" s="69">
        <f>IF(M448&lt;-0.05,"Watch","On Track")</f>
        <v/>
      </c>
    </row>
    <row r="449" ht="16" customHeight="1">
      <c r="A449" s="106" t="inlineStr">
        <is>
          <t>CC-00448</t>
        </is>
      </c>
      <c r="B449" s="71" t="inlineStr">
        <is>
          <t>EVT-2025-041</t>
        </is>
      </c>
      <c r="C449" s="70" t="inlineStr">
        <is>
          <t>Cognivex Congress Brussels Oct 2025</t>
        </is>
      </c>
      <c r="D449" s="70" t="inlineStr">
        <is>
          <t>Neurology</t>
        </is>
      </c>
      <c r="E449" s="70" t="inlineStr">
        <is>
          <t>BU Neuroscience</t>
        </is>
      </c>
      <c r="F449" s="71" t="inlineStr">
        <is>
          <t>Speaker Fees</t>
        </is>
      </c>
      <c r="G449" s="71" t="inlineStr">
        <is>
          <t>Oct-2025</t>
        </is>
      </c>
      <c r="H449" s="71" t="inlineStr">
        <is>
          <t>Q4 2025</t>
        </is>
      </c>
      <c r="I449" s="73" t="n">
        <v>3488.46</v>
      </c>
      <c r="J449" s="73" t="n">
        <v>2787.7</v>
      </c>
      <c r="K449" s="73" t="n">
        <v>0</v>
      </c>
      <c r="L449" s="163">
        <f>I449-J449</f>
        <v/>
      </c>
      <c r="M449" s="161">
        <f>IF(I449=0,0,ROUND((I449-J449)/I449,4))</f>
        <v/>
      </c>
      <c r="N449" s="107">
        <f>IF(I449=0,0,J449/I449)</f>
        <v/>
      </c>
      <c r="O449" s="108">
        <f>IF(L449&gt;=0,"Under","Over")</f>
        <v/>
      </c>
      <c r="P449" s="69">
        <f>IF(M449&lt;-0.05,"Watch","On Track")</f>
        <v/>
      </c>
    </row>
    <row r="450" ht="16" customHeight="1">
      <c r="A450" s="98" t="inlineStr">
        <is>
          <t>CC-00449</t>
        </is>
      </c>
      <c r="B450" s="99" t="inlineStr">
        <is>
          <t>EVT-2025-041</t>
        </is>
      </c>
      <c r="C450" s="100" t="inlineStr">
        <is>
          <t>Cognivex Congress Brussels Oct 2025</t>
        </is>
      </c>
      <c r="D450" s="100" t="inlineStr">
        <is>
          <t>Neurology</t>
        </is>
      </c>
      <c r="E450" s="100" t="inlineStr">
        <is>
          <t>BU Neuroscience</t>
        </is>
      </c>
      <c r="F450" s="99" t="inlineStr">
        <is>
          <t>Translation</t>
        </is>
      </c>
      <c r="G450" s="99" t="inlineStr">
        <is>
          <t>Oct-2025</t>
        </is>
      </c>
      <c r="H450" s="99" t="inlineStr">
        <is>
          <t>Q4 2025</t>
        </is>
      </c>
      <c r="I450" s="101" t="n">
        <v>1046.54</v>
      </c>
      <c r="J450" s="101" t="n">
        <v>794.92</v>
      </c>
      <c r="K450" s="101" t="n">
        <v>0</v>
      </c>
      <c r="L450" s="165">
        <f>I450-J450</f>
        <v/>
      </c>
      <c r="M450" s="166">
        <f>IF(I450=0,0,ROUND((I450-J450)/I450,4))</f>
        <v/>
      </c>
      <c r="N450" s="104">
        <f>IF(I450=0,0,J450/I450)</f>
        <v/>
      </c>
      <c r="O450" s="105">
        <f>IF(L450&gt;=0,"Under","Over")</f>
        <v/>
      </c>
      <c r="P450" s="69">
        <f>IF(M450&lt;-0.05,"Watch","On Track")</f>
        <v/>
      </c>
    </row>
    <row r="451" ht="16" customHeight="1">
      <c r="A451" s="106" t="inlineStr">
        <is>
          <t>CC-00450</t>
        </is>
      </c>
      <c r="B451" s="71" t="inlineStr">
        <is>
          <t>EVT-2025-041</t>
        </is>
      </c>
      <c r="C451" s="70" t="inlineStr">
        <is>
          <t>Cognivex Congress Brussels Oct 2025</t>
        </is>
      </c>
      <c r="D451" s="70" t="inlineStr">
        <is>
          <t>Neurology</t>
        </is>
      </c>
      <c r="E451" s="70" t="inlineStr">
        <is>
          <t>BU Neuroscience</t>
        </is>
      </c>
      <c r="F451" s="71" t="inlineStr">
        <is>
          <t>Print &amp; Production</t>
        </is>
      </c>
      <c r="G451" s="71" t="inlineStr">
        <is>
          <t>Oct-2025</t>
        </is>
      </c>
      <c r="H451" s="71" t="inlineStr">
        <is>
          <t>Q4 2025</t>
        </is>
      </c>
      <c r="I451" s="73" t="n">
        <v>697.6900000000001</v>
      </c>
      <c r="J451" s="73" t="n">
        <v>674.97</v>
      </c>
      <c r="K451" s="73" t="n">
        <v>0</v>
      </c>
      <c r="L451" s="163">
        <f>I451-J451</f>
        <v/>
      </c>
      <c r="M451" s="161">
        <f>IF(I451=0,0,ROUND((I451-J451)/I451,4))</f>
        <v/>
      </c>
      <c r="N451" s="107">
        <f>IF(I451=0,0,J451/I451)</f>
        <v/>
      </c>
      <c r="O451" s="108">
        <f>IF(L451&gt;=0,"Under","Over")</f>
        <v/>
      </c>
      <c r="P451" s="69">
        <f>IF(M451&lt;-0.05,"Watch","On Track")</f>
        <v/>
      </c>
    </row>
    <row r="452" ht="16" customHeight="1">
      <c r="A452" s="98" t="inlineStr">
        <is>
          <t>CC-00451</t>
        </is>
      </c>
      <c r="B452" s="99" t="inlineStr">
        <is>
          <t>EVT-2025-041</t>
        </is>
      </c>
      <c r="C452" s="100" t="inlineStr">
        <is>
          <t>Cognivex Congress Brussels Oct 2025</t>
        </is>
      </c>
      <c r="D452" s="100" t="inlineStr">
        <is>
          <t>Neurology</t>
        </is>
      </c>
      <c r="E452" s="100" t="inlineStr">
        <is>
          <t>BU Neuroscience</t>
        </is>
      </c>
      <c r="F452" s="99" t="inlineStr">
        <is>
          <t>Miscellaneous</t>
        </is>
      </c>
      <c r="G452" s="99" t="inlineStr">
        <is>
          <t>Oct-2025</t>
        </is>
      </c>
      <c r="H452" s="99" t="inlineStr">
        <is>
          <t>Q4 2025</t>
        </is>
      </c>
      <c r="I452" s="101" t="n">
        <v>697.6900000000001</v>
      </c>
      <c r="J452" s="101" t="n">
        <v>639.4</v>
      </c>
      <c r="K452" s="101" t="n">
        <v>0</v>
      </c>
      <c r="L452" s="165">
        <f>I452-J452</f>
        <v/>
      </c>
      <c r="M452" s="166">
        <f>IF(I452=0,0,ROUND((I452-J452)/I452,4))</f>
        <v/>
      </c>
      <c r="N452" s="104">
        <f>IF(I452=0,0,J452/I452)</f>
        <v/>
      </c>
      <c r="O452" s="105">
        <f>IF(L452&gt;=0,"Under","Over")</f>
        <v/>
      </c>
      <c r="P452" s="69">
        <f>IF(M452&lt;-0.05,"Watch","On Track")</f>
        <v/>
      </c>
    </row>
    <row r="453" ht="16" customHeight="1">
      <c r="A453" s="106" t="inlineStr">
        <is>
          <t>CC-00452</t>
        </is>
      </c>
      <c r="B453" s="71" t="inlineStr">
        <is>
          <t>EVT-2025-042</t>
        </is>
      </c>
      <c r="C453" s="70" t="inlineStr">
        <is>
          <t>Antivex Launch Event Amsterdam Dec 2025</t>
        </is>
      </c>
      <c r="D453" s="70" t="inlineStr">
        <is>
          <t>Infectious Diseases</t>
        </is>
      </c>
      <c r="E453" s="70" t="inlineStr">
        <is>
          <t>BU Infectious Diseases</t>
        </is>
      </c>
      <c r="F453" s="71" t="inlineStr">
        <is>
          <t>Airfare</t>
        </is>
      </c>
      <c r="G453" s="71" t="inlineStr">
        <is>
          <t>Dec-2025</t>
        </is>
      </c>
      <c r="H453" s="71" t="inlineStr">
        <is>
          <t>Q4 2025</t>
        </is>
      </c>
      <c r="I453" s="73" t="n">
        <v>35812.92</v>
      </c>
      <c r="J453" s="73" t="n">
        <v>38816.96</v>
      </c>
      <c r="K453" s="73" t="n">
        <v>36278.03</v>
      </c>
      <c r="L453" s="158">
        <f>I453-J453</f>
        <v/>
      </c>
      <c r="M453" s="159">
        <f>IF(I453=0,0,ROUND((I453-J453)/I453,4))</f>
        <v/>
      </c>
      <c r="N453" s="107">
        <f>IF(I453=0,0,J453/I453)</f>
        <v/>
      </c>
      <c r="O453" s="112">
        <f>IF(L453&gt;=0,"Under","Over")</f>
        <v/>
      </c>
      <c r="P453" s="76">
        <f>IF(M453&lt;-0.05,"Watch","On Track")</f>
        <v/>
      </c>
    </row>
    <row r="454" ht="16" customHeight="1">
      <c r="A454" s="98" t="inlineStr">
        <is>
          <t>CC-00453</t>
        </is>
      </c>
      <c r="B454" s="99" t="inlineStr">
        <is>
          <t>EVT-2025-042</t>
        </is>
      </c>
      <c r="C454" s="100" t="inlineStr">
        <is>
          <t>Antivex Launch Event Amsterdam Dec 2025</t>
        </is>
      </c>
      <c r="D454" s="100" t="inlineStr">
        <is>
          <t>Infectious Diseases</t>
        </is>
      </c>
      <c r="E454" s="100" t="inlineStr">
        <is>
          <t>BU Infectious Diseases</t>
        </is>
      </c>
      <c r="F454" s="99" t="inlineStr">
        <is>
          <t>Hotel</t>
        </is>
      </c>
      <c r="G454" s="99" t="inlineStr">
        <is>
          <t>Dec-2025</t>
        </is>
      </c>
      <c r="H454" s="99" t="inlineStr">
        <is>
          <t>Q4 2025</t>
        </is>
      </c>
      <c r="I454" s="101" t="n">
        <v>64463.26</v>
      </c>
      <c r="J454" s="101" t="n">
        <v>49181.8</v>
      </c>
      <c r="K454" s="101" t="n">
        <v>38562.96</v>
      </c>
      <c r="L454" s="165">
        <f>I454-J454</f>
        <v/>
      </c>
      <c r="M454" s="166">
        <f>IF(I454=0,0,ROUND((I454-J454)/I454,4))</f>
        <v/>
      </c>
      <c r="N454" s="104">
        <f>IF(I454=0,0,J454/I454)</f>
        <v/>
      </c>
      <c r="O454" s="105">
        <f>IF(L454&gt;=0,"Under","Over")</f>
        <v/>
      </c>
      <c r="P454" s="69">
        <f>IF(M454&lt;-0.05,"Watch","On Track")</f>
        <v/>
      </c>
    </row>
    <row r="455" ht="16" customHeight="1">
      <c r="A455" s="106" t="inlineStr">
        <is>
          <t>CC-00454</t>
        </is>
      </c>
      <c r="B455" s="71" t="inlineStr">
        <is>
          <t>EVT-2025-042</t>
        </is>
      </c>
      <c r="C455" s="70" t="inlineStr">
        <is>
          <t>Antivex Launch Event Amsterdam Dec 2025</t>
        </is>
      </c>
      <c r="D455" s="70" t="inlineStr">
        <is>
          <t>Infectious Diseases</t>
        </is>
      </c>
      <c r="E455" s="70" t="inlineStr">
        <is>
          <t>BU Infectious Diseases</t>
        </is>
      </c>
      <c r="F455" s="71" t="inlineStr">
        <is>
          <t>Venue</t>
        </is>
      </c>
      <c r="G455" s="71" t="inlineStr">
        <is>
          <t>Dec-2025</t>
        </is>
      </c>
      <c r="H455" s="71" t="inlineStr">
        <is>
          <t>Q4 2025</t>
        </is>
      </c>
      <c r="I455" s="73" t="n">
        <v>53719.39</v>
      </c>
      <c r="J455" s="73" t="n">
        <v>53339.77</v>
      </c>
      <c r="K455" s="73" t="n">
        <v>43178.79</v>
      </c>
      <c r="L455" s="163">
        <f>I455-J455</f>
        <v/>
      </c>
      <c r="M455" s="161">
        <f>IF(I455=0,0,ROUND((I455-J455)/I455,4))</f>
        <v/>
      </c>
      <c r="N455" s="107">
        <f>IF(I455=0,0,J455/I455)</f>
        <v/>
      </c>
      <c r="O455" s="108">
        <f>IF(L455&gt;=0,"Under","Over")</f>
        <v/>
      </c>
      <c r="P455" s="69">
        <f>IF(M455&lt;-0.05,"Watch","On Track")</f>
        <v/>
      </c>
    </row>
    <row r="456" ht="16" customHeight="1">
      <c r="A456" s="98" t="inlineStr">
        <is>
          <t>CC-00455</t>
        </is>
      </c>
      <c r="B456" s="99" t="inlineStr">
        <is>
          <t>EVT-2025-042</t>
        </is>
      </c>
      <c r="C456" s="100" t="inlineStr">
        <is>
          <t>Antivex Launch Event Amsterdam Dec 2025</t>
        </is>
      </c>
      <c r="D456" s="100" t="inlineStr">
        <is>
          <t>Infectious Diseases</t>
        </is>
      </c>
      <c r="E456" s="100" t="inlineStr">
        <is>
          <t>BU Infectious Diseases</t>
        </is>
      </c>
      <c r="F456" s="99" t="inlineStr">
        <is>
          <t>F&amp;B</t>
        </is>
      </c>
      <c r="G456" s="99" t="inlineStr">
        <is>
          <t>Dec-2025</t>
        </is>
      </c>
      <c r="H456" s="99" t="inlineStr">
        <is>
          <t>Q4 2025</t>
        </is>
      </c>
      <c r="I456" s="101" t="n">
        <v>42975.51</v>
      </c>
      <c r="J456" s="101" t="n">
        <v>45813.34</v>
      </c>
      <c r="K456" s="101" t="n">
        <v>34815.39</v>
      </c>
      <c r="L456" s="167">
        <f>I456-J456</f>
        <v/>
      </c>
      <c r="M456" s="168">
        <f>IF(I456=0,0,ROUND((I456-J456)/I456,4))</f>
        <v/>
      </c>
      <c r="N456" s="104">
        <f>IF(I456=0,0,J456/I456)</f>
        <v/>
      </c>
      <c r="O456" s="111">
        <f>IF(L456&gt;=0,"Under","Over")</f>
        <v/>
      </c>
      <c r="P456" s="76">
        <f>IF(M456&lt;-0.05,"Watch","On Track")</f>
        <v/>
      </c>
    </row>
    <row r="457" ht="16" customHeight="1">
      <c r="A457" s="106" t="inlineStr">
        <is>
          <t>CC-00456</t>
        </is>
      </c>
      <c r="B457" s="71" t="inlineStr">
        <is>
          <t>EVT-2025-042</t>
        </is>
      </c>
      <c r="C457" s="70" t="inlineStr">
        <is>
          <t>Antivex Launch Event Amsterdam Dec 2025</t>
        </is>
      </c>
      <c r="D457" s="70" t="inlineStr">
        <is>
          <t>Infectious Diseases</t>
        </is>
      </c>
      <c r="E457" s="70" t="inlineStr">
        <is>
          <t>BU Infectious Diseases</t>
        </is>
      </c>
      <c r="F457" s="71" t="inlineStr">
        <is>
          <t>Logistics</t>
        </is>
      </c>
      <c r="G457" s="71" t="inlineStr">
        <is>
          <t>Dec-2025</t>
        </is>
      </c>
      <c r="H457" s="71" t="inlineStr">
        <is>
          <t>Q4 2025</t>
        </is>
      </c>
      <c r="I457" s="73" t="n">
        <v>21487.75</v>
      </c>
      <c r="J457" s="73" t="n">
        <v>23607.14</v>
      </c>
      <c r="K457" s="73" t="n">
        <v>17799.27</v>
      </c>
      <c r="L457" s="158">
        <f>I457-J457</f>
        <v/>
      </c>
      <c r="M457" s="159">
        <f>IF(I457=0,0,ROUND((I457-J457)/I457,4))</f>
        <v/>
      </c>
      <c r="N457" s="107">
        <f>IF(I457=0,0,J457/I457)</f>
        <v/>
      </c>
      <c r="O457" s="112">
        <f>IF(L457&gt;=0,"Under","Over")</f>
        <v/>
      </c>
      <c r="P457" s="76">
        <f>IF(M457&lt;-0.05,"Watch","On Track")</f>
        <v/>
      </c>
    </row>
    <row r="458" ht="16" customHeight="1">
      <c r="A458" s="98" t="inlineStr">
        <is>
          <t>CC-00457</t>
        </is>
      </c>
      <c r="B458" s="99" t="inlineStr">
        <is>
          <t>EVT-2025-042</t>
        </is>
      </c>
      <c r="C458" s="100" t="inlineStr">
        <is>
          <t>Antivex Launch Event Amsterdam Dec 2025</t>
        </is>
      </c>
      <c r="D458" s="100" t="inlineStr">
        <is>
          <t>Infectious Diseases</t>
        </is>
      </c>
      <c r="E458" s="100" t="inlineStr">
        <is>
          <t>BU Infectious Diseases</t>
        </is>
      </c>
      <c r="F458" s="99" t="inlineStr">
        <is>
          <t>AV &amp; Technology</t>
        </is>
      </c>
      <c r="G458" s="99" t="inlineStr">
        <is>
          <t>Dec-2025</t>
        </is>
      </c>
      <c r="H458" s="99" t="inlineStr">
        <is>
          <t>Q4 2025</t>
        </is>
      </c>
      <c r="I458" s="101" t="n">
        <v>28650.34</v>
      </c>
      <c r="J458" s="101" t="n">
        <v>28186.46</v>
      </c>
      <c r="K458" s="101" t="n">
        <v>19958.12</v>
      </c>
      <c r="L458" s="165">
        <f>I458-J458</f>
        <v/>
      </c>
      <c r="M458" s="166">
        <f>IF(I458=0,0,ROUND((I458-J458)/I458,4))</f>
        <v/>
      </c>
      <c r="N458" s="104">
        <f>IF(I458=0,0,J458/I458)</f>
        <v/>
      </c>
      <c r="O458" s="105">
        <f>IF(L458&gt;=0,"Under","Over")</f>
        <v/>
      </c>
      <c r="P458" s="69">
        <f>IF(M458&lt;-0.05,"Watch","On Track")</f>
        <v/>
      </c>
    </row>
    <row r="459" ht="16" customHeight="1">
      <c r="A459" s="106" t="inlineStr">
        <is>
          <t>CC-00458</t>
        </is>
      </c>
      <c r="B459" s="71" t="inlineStr">
        <is>
          <t>EVT-2025-042</t>
        </is>
      </c>
      <c r="C459" s="70" t="inlineStr">
        <is>
          <t>Antivex Launch Event Amsterdam Dec 2025</t>
        </is>
      </c>
      <c r="D459" s="70" t="inlineStr">
        <is>
          <t>Infectious Diseases</t>
        </is>
      </c>
      <c r="E459" s="70" t="inlineStr">
        <is>
          <t>BU Infectious Diseases</t>
        </is>
      </c>
      <c r="F459" s="71" t="inlineStr">
        <is>
          <t>Agency Fees</t>
        </is>
      </c>
      <c r="G459" s="71" t="inlineStr">
        <is>
          <t>Dec-2025</t>
        </is>
      </c>
      <c r="H459" s="71" t="inlineStr">
        <is>
          <t>Q4 2025</t>
        </is>
      </c>
      <c r="I459" s="73" t="n">
        <v>50138.09</v>
      </c>
      <c r="J459" s="73" t="n">
        <v>48313.4</v>
      </c>
      <c r="K459" s="73" t="n">
        <v>47486.88</v>
      </c>
      <c r="L459" s="163">
        <f>I459-J459</f>
        <v/>
      </c>
      <c r="M459" s="161">
        <f>IF(I459=0,0,ROUND((I459-J459)/I459,4))</f>
        <v/>
      </c>
      <c r="N459" s="107">
        <f>IF(I459=0,0,J459/I459)</f>
        <v/>
      </c>
      <c r="O459" s="108">
        <f>IF(L459&gt;=0,"Under","Over")</f>
        <v/>
      </c>
      <c r="P459" s="69">
        <f>IF(M459&lt;-0.05,"Watch","On Track")</f>
        <v/>
      </c>
    </row>
    <row r="460" ht="16" customHeight="1">
      <c r="A460" s="98" t="inlineStr">
        <is>
          <t>CC-00459</t>
        </is>
      </c>
      <c r="B460" s="99" t="inlineStr">
        <is>
          <t>EVT-2025-042</t>
        </is>
      </c>
      <c r="C460" s="100" t="inlineStr">
        <is>
          <t>Antivex Launch Event Amsterdam Dec 2025</t>
        </is>
      </c>
      <c r="D460" s="100" t="inlineStr">
        <is>
          <t>Infectious Diseases</t>
        </is>
      </c>
      <c r="E460" s="100" t="inlineStr">
        <is>
          <t>BU Infectious Diseases</t>
        </is>
      </c>
      <c r="F460" s="99" t="inlineStr">
        <is>
          <t>Speaker Fees</t>
        </is>
      </c>
      <c r="G460" s="99" t="inlineStr">
        <is>
          <t>Dec-2025</t>
        </is>
      </c>
      <c r="H460" s="99" t="inlineStr">
        <is>
          <t>Q4 2025</t>
        </is>
      </c>
      <c r="I460" s="101" t="n">
        <v>35812.92</v>
      </c>
      <c r="J460" s="101" t="n">
        <v>25241.81</v>
      </c>
      <c r="K460" s="101" t="n">
        <v>23709.77</v>
      </c>
      <c r="L460" s="165">
        <f>I460-J460</f>
        <v/>
      </c>
      <c r="M460" s="166">
        <f>IF(I460=0,0,ROUND((I460-J460)/I460,4))</f>
        <v/>
      </c>
      <c r="N460" s="104">
        <f>IF(I460=0,0,J460/I460)</f>
        <v/>
      </c>
      <c r="O460" s="105">
        <f>IF(L460&gt;=0,"Under","Over")</f>
        <v/>
      </c>
      <c r="P460" s="69">
        <f>IF(M460&lt;-0.05,"Watch","On Track")</f>
        <v/>
      </c>
    </row>
    <row r="461" ht="16" customHeight="1">
      <c r="A461" s="106" t="inlineStr">
        <is>
          <t>CC-00460</t>
        </is>
      </c>
      <c r="B461" s="71" t="inlineStr">
        <is>
          <t>EVT-2025-042</t>
        </is>
      </c>
      <c r="C461" s="70" t="inlineStr">
        <is>
          <t>Antivex Launch Event Amsterdam Dec 2025</t>
        </is>
      </c>
      <c r="D461" s="70" t="inlineStr">
        <is>
          <t>Infectious Diseases</t>
        </is>
      </c>
      <c r="E461" s="70" t="inlineStr">
        <is>
          <t>BU Infectious Diseases</t>
        </is>
      </c>
      <c r="F461" s="71" t="inlineStr">
        <is>
          <t>Translation</t>
        </is>
      </c>
      <c r="G461" s="71" t="inlineStr">
        <is>
          <t>Dec-2025</t>
        </is>
      </c>
      <c r="H461" s="71" t="inlineStr">
        <is>
          <t>Q4 2025</t>
        </is>
      </c>
      <c r="I461" s="73" t="n">
        <v>10743.88</v>
      </c>
      <c r="J461" s="73" t="n">
        <v>10911.92</v>
      </c>
      <c r="K461" s="73" t="n">
        <v>7864.74</v>
      </c>
      <c r="L461" s="158">
        <f>I461-J461</f>
        <v/>
      </c>
      <c r="M461" s="161">
        <f>IF(I461=0,0,ROUND((I461-J461)/I461,4))</f>
        <v/>
      </c>
      <c r="N461" s="107">
        <f>IF(I461=0,0,J461/I461)</f>
        <v/>
      </c>
      <c r="O461" s="112">
        <f>IF(L461&gt;=0,"Under","Over")</f>
        <v/>
      </c>
      <c r="P461" s="69">
        <f>IF(M461&lt;-0.05,"Watch","On Track")</f>
        <v/>
      </c>
    </row>
    <row r="462" ht="16" customHeight="1">
      <c r="A462" s="98" t="inlineStr">
        <is>
          <t>CC-00461</t>
        </is>
      </c>
      <c r="B462" s="99" t="inlineStr">
        <is>
          <t>EVT-2025-042</t>
        </is>
      </c>
      <c r="C462" s="100" t="inlineStr">
        <is>
          <t>Antivex Launch Event Amsterdam Dec 2025</t>
        </is>
      </c>
      <c r="D462" s="100" t="inlineStr">
        <is>
          <t>Infectious Diseases</t>
        </is>
      </c>
      <c r="E462" s="100" t="inlineStr">
        <is>
          <t>BU Infectious Diseases</t>
        </is>
      </c>
      <c r="F462" s="99" t="inlineStr">
        <is>
          <t>Print &amp; Production</t>
        </is>
      </c>
      <c r="G462" s="99" t="inlineStr">
        <is>
          <t>Dec-2025</t>
        </is>
      </c>
      <c r="H462" s="99" t="inlineStr">
        <is>
          <t>Q4 2025</t>
        </is>
      </c>
      <c r="I462" s="101" t="n">
        <v>7162.58</v>
      </c>
      <c r="J462" s="101" t="n">
        <v>7333.72</v>
      </c>
      <c r="K462" s="101" t="n">
        <v>6882.8</v>
      </c>
      <c r="L462" s="167">
        <f>I462-J462</f>
        <v/>
      </c>
      <c r="M462" s="166">
        <f>IF(I462=0,0,ROUND((I462-J462)/I462,4))</f>
        <v/>
      </c>
      <c r="N462" s="104">
        <f>IF(I462=0,0,J462/I462)</f>
        <v/>
      </c>
      <c r="O462" s="111">
        <f>IF(L462&gt;=0,"Under","Over")</f>
        <v/>
      </c>
      <c r="P462" s="69">
        <f>IF(M462&lt;-0.05,"Watch","On Track")</f>
        <v/>
      </c>
    </row>
    <row r="463" ht="16" customHeight="1">
      <c r="A463" s="106" t="inlineStr">
        <is>
          <t>CC-00462</t>
        </is>
      </c>
      <c r="B463" s="71" t="inlineStr">
        <is>
          <t>EVT-2025-042</t>
        </is>
      </c>
      <c r="C463" s="70" t="inlineStr">
        <is>
          <t>Antivex Launch Event Amsterdam Dec 2025</t>
        </is>
      </c>
      <c r="D463" s="70" t="inlineStr">
        <is>
          <t>Infectious Diseases</t>
        </is>
      </c>
      <c r="E463" s="70" t="inlineStr">
        <is>
          <t>BU Infectious Diseases</t>
        </is>
      </c>
      <c r="F463" s="71" t="inlineStr">
        <is>
          <t>Miscellaneous</t>
        </is>
      </c>
      <c r="G463" s="71" t="inlineStr">
        <is>
          <t>Dec-2025</t>
        </is>
      </c>
      <c r="H463" s="71" t="inlineStr">
        <is>
          <t>Q4 2025</t>
        </is>
      </c>
      <c r="I463" s="73" t="n">
        <v>7162.58</v>
      </c>
      <c r="J463" s="73" t="n">
        <v>6707.68</v>
      </c>
      <c r="K463" s="73" t="n">
        <v>4975.45</v>
      </c>
      <c r="L463" s="163">
        <f>I463-J463</f>
        <v/>
      </c>
      <c r="M463" s="161">
        <f>IF(I463=0,0,ROUND((I463-J463)/I463,4))</f>
        <v/>
      </c>
      <c r="N463" s="107">
        <f>IF(I463=0,0,J463/I463)</f>
        <v/>
      </c>
      <c r="O463" s="108">
        <f>IF(L463&gt;=0,"Under","Over")</f>
        <v/>
      </c>
      <c r="P463" s="69">
        <f>IF(M463&lt;-0.05,"Watch","On Track")</f>
        <v/>
      </c>
    </row>
    <row r="464" ht="16" customHeight="1">
      <c r="A464" s="98" t="inlineStr">
        <is>
          <t>CC-00463</t>
        </is>
      </c>
      <c r="B464" s="99" t="inlineStr">
        <is>
          <t>EVT-2025-043</t>
        </is>
      </c>
      <c r="C464" s="100" t="inlineStr">
        <is>
          <t>Ferrozol Speaker Program Vienna Mar 2025</t>
        </is>
      </c>
      <c r="D464" s="100" t="inlineStr">
        <is>
          <t>Hematology</t>
        </is>
      </c>
      <c r="E464" s="100" t="inlineStr">
        <is>
          <t>BU Oncology</t>
        </is>
      </c>
      <c r="F464" s="99" t="inlineStr">
        <is>
          <t>Airfare</t>
        </is>
      </c>
      <c r="G464" s="99" t="inlineStr">
        <is>
          <t>Mar-2025</t>
        </is>
      </c>
      <c r="H464" s="99" t="inlineStr">
        <is>
          <t>Q1 2025</t>
        </is>
      </c>
      <c r="I464" s="101" t="n">
        <v>10811.44</v>
      </c>
      <c r="J464" s="101" t="n">
        <v>8123.89</v>
      </c>
      <c r="K464" s="101" t="n">
        <v>0</v>
      </c>
      <c r="L464" s="165">
        <f>I464-J464</f>
        <v/>
      </c>
      <c r="M464" s="166">
        <f>IF(I464=0,0,ROUND((I464-J464)/I464,4))</f>
        <v/>
      </c>
      <c r="N464" s="104">
        <f>IF(I464=0,0,J464/I464)</f>
        <v/>
      </c>
      <c r="O464" s="105">
        <f>IF(L464&gt;=0,"Under","Over")</f>
        <v/>
      </c>
      <c r="P464" s="69">
        <f>IF(M464&lt;-0.05,"Watch","On Track")</f>
        <v/>
      </c>
    </row>
    <row r="465" ht="16" customHeight="1">
      <c r="A465" s="106" t="inlineStr">
        <is>
          <t>CC-00464</t>
        </is>
      </c>
      <c r="B465" s="71" t="inlineStr">
        <is>
          <t>EVT-2025-043</t>
        </is>
      </c>
      <c r="C465" s="70" t="inlineStr">
        <is>
          <t>Ferrozol Speaker Program Vienna Mar 2025</t>
        </is>
      </c>
      <c r="D465" s="70" t="inlineStr">
        <is>
          <t>Hematology</t>
        </is>
      </c>
      <c r="E465" s="70" t="inlineStr">
        <is>
          <t>BU Oncology</t>
        </is>
      </c>
      <c r="F465" s="71" t="inlineStr">
        <is>
          <t>Hotel</t>
        </is>
      </c>
      <c r="G465" s="71" t="inlineStr">
        <is>
          <t>Mar-2025</t>
        </is>
      </c>
      <c r="H465" s="71" t="inlineStr">
        <is>
          <t>Q1 2025</t>
        </is>
      </c>
      <c r="I465" s="73" t="n">
        <v>19460.59</v>
      </c>
      <c r="J465" s="73" t="n">
        <v>14135.02</v>
      </c>
      <c r="K465" s="73" t="n">
        <v>0</v>
      </c>
      <c r="L465" s="163">
        <f>I465-J465</f>
        <v/>
      </c>
      <c r="M465" s="161">
        <f>IF(I465=0,0,ROUND((I465-J465)/I465,4))</f>
        <v/>
      </c>
      <c r="N465" s="107">
        <f>IF(I465=0,0,J465/I465)</f>
        <v/>
      </c>
      <c r="O465" s="108">
        <f>IF(L465&gt;=0,"Under","Over")</f>
        <v/>
      </c>
      <c r="P465" s="69">
        <f>IF(M465&lt;-0.05,"Watch","On Track")</f>
        <v/>
      </c>
    </row>
    <row r="466" ht="16" customHeight="1">
      <c r="A466" s="98" t="inlineStr">
        <is>
          <t>CC-00465</t>
        </is>
      </c>
      <c r="B466" s="99" t="inlineStr">
        <is>
          <t>EVT-2025-043</t>
        </is>
      </c>
      <c r="C466" s="100" t="inlineStr">
        <is>
          <t>Ferrozol Speaker Program Vienna Mar 2025</t>
        </is>
      </c>
      <c r="D466" s="100" t="inlineStr">
        <is>
          <t>Hematology</t>
        </is>
      </c>
      <c r="E466" s="100" t="inlineStr">
        <is>
          <t>BU Oncology</t>
        </is>
      </c>
      <c r="F466" s="99" t="inlineStr">
        <is>
          <t>Venue</t>
        </is>
      </c>
      <c r="G466" s="99" t="inlineStr">
        <is>
          <t>Mar-2025</t>
        </is>
      </c>
      <c r="H466" s="99" t="inlineStr">
        <is>
          <t>Q1 2025</t>
        </is>
      </c>
      <c r="I466" s="101" t="n">
        <v>16217.16</v>
      </c>
      <c r="J466" s="101" t="n">
        <v>10980.18</v>
      </c>
      <c r="K466" s="101" t="n">
        <v>0</v>
      </c>
      <c r="L466" s="165">
        <f>I466-J466</f>
        <v/>
      </c>
      <c r="M466" s="166">
        <f>IF(I466=0,0,ROUND((I466-J466)/I466,4))</f>
        <v/>
      </c>
      <c r="N466" s="104">
        <f>IF(I466=0,0,J466/I466)</f>
        <v/>
      </c>
      <c r="O466" s="105">
        <f>IF(L466&gt;=0,"Under","Over")</f>
        <v/>
      </c>
      <c r="P466" s="69">
        <f>IF(M466&lt;-0.05,"Watch","On Track")</f>
        <v/>
      </c>
    </row>
    <row r="467" ht="16" customHeight="1">
      <c r="A467" s="106" t="inlineStr">
        <is>
          <t>CC-00466</t>
        </is>
      </c>
      <c r="B467" s="71" t="inlineStr">
        <is>
          <t>EVT-2025-043</t>
        </is>
      </c>
      <c r="C467" s="70" t="inlineStr">
        <is>
          <t>Ferrozol Speaker Program Vienna Mar 2025</t>
        </is>
      </c>
      <c r="D467" s="70" t="inlineStr">
        <is>
          <t>Hematology</t>
        </is>
      </c>
      <c r="E467" s="70" t="inlineStr">
        <is>
          <t>BU Oncology</t>
        </is>
      </c>
      <c r="F467" s="71" t="inlineStr">
        <is>
          <t>F&amp;B</t>
        </is>
      </c>
      <c r="G467" s="71" t="inlineStr">
        <is>
          <t>Mar-2025</t>
        </is>
      </c>
      <c r="H467" s="71" t="inlineStr">
        <is>
          <t>Q1 2025</t>
        </is>
      </c>
      <c r="I467" s="73" t="n">
        <v>12973.73</v>
      </c>
      <c r="J467" s="73" t="n">
        <v>10529.01</v>
      </c>
      <c r="K467" s="73" t="n">
        <v>0</v>
      </c>
      <c r="L467" s="163">
        <f>I467-J467</f>
        <v/>
      </c>
      <c r="M467" s="161">
        <f>IF(I467=0,0,ROUND((I467-J467)/I467,4))</f>
        <v/>
      </c>
      <c r="N467" s="107">
        <f>IF(I467=0,0,J467/I467)</f>
        <v/>
      </c>
      <c r="O467" s="108">
        <f>IF(L467&gt;=0,"Under","Over")</f>
        <v/>
      </c>
      <c r="P467" s="69">
        <f>IF(M467&lt;-0.05,"Watch","On Track")</f>
        <v/>
      </c>
    </row>
    <row r="468" ht="16" customHeight="1">
      <c r="A468" s="98" t="inlineStr">
        <is>
          <t>CC-00467</t>
        </is>
      </c>
      <c r="B468" s="99" t="inlineStr">
        <is>
          <t>EVT-2025-043</t>
        </is>
      </c>
      <c r="C468" s="100" t="inlineStr">
        <is>
          <t>Ferrozol Speaker Program Vienna Mar 2025</t>
        </is>
      </c>
      <c r="D468" s="100" t="inlineStr">
        <is>
          <t>Hematology</t>
        </is>
      </c>
      <c r="E468" s="100" t="inlineStr">
        <is>
          <t>BU Oncology</t>
        </is>
      </c>
      <c r="F468" s="99" t="inlineStr">
        <is>
          <t>Logistics</t>
        </is>
      </c>
      <c r="G468" s="99" t="inlineStr">
        <is>
          <t>Mar-2025</t>
        </is>
      </c>
      <c r="H468" s="99" t="inlineStr">
        <is>
          <t>Q1 2025</t>
        </is>
      </c>
      <c r="I468" s="101" t="n">
        <v>6486.86</v>
      </c>
      <c r="J468" s="101" t="n">
        <v>5114.86</v>
      </c>
      <c r="K468" s="101" t="n">
        <v>0</v>
      </c>
      <c r="L468" s="165">
        <f>I468-J468</f>
        <v/>
      </c>
      <c r="M468" s="166">
        <f>IF(I468=0,0,ROUND((I468-J468)/I468,4))</f>
        <v/>
      </c>
      <c r="N468" s="104">
        <f>IF(I468=0,0,J468/I468)</f>
        <v/>
      </c>
      <c r="O468" s="105">
        <f>IF(L468&gt;=0,"Under","Over")</f>
        <v/>
      </c>
      <c r="P468" s="69">
        <f>IF(M468&lt;-0.05,"Watch","On Track")</f>
        <v/>
      </c>
    </row>
    <row r="469" ht="16" customHeight="1">
      <c r="A469" s="106" t="inlineStr">
        <is>
          <t>CC-00468</t>
        </is>
      </c>
      <c r="B469" s="71" t="inlineStr">
        <is>
          <t>EVT-2025-043</t>
        </is>
      </c>
      <c r="C469" s="70" t="inlineStr">
        <is>
          <t>Ferrozol Speaker Program Vienna Mar 2025</t>
        </is>
      </c>
      <c r="D469" s="70" t="inlineStr">
        <is>
          <t>Hematology</t>
        </is>
      </c>
      <c r="E469" s="70" t="inlineStr">
        <is>
          <t>BU Oncology</t>
        </is>
      </c>
      <c r="F469" s="71" t="inlineStr">
        <is>
          <t>AV &amp; Technology</t>
        </is>
      </c>
      <c r="G469" s="71" t="inlineStr">
        <is>
          <t>Mar-2025</t>
        </is>
      </c>
      <c r="H469" s="71" t="inlineStr">
        <is>
          <t>Q1 2025</t>
        </is>
      </c>
      <c r="I469" s="73" t="n">
        <v>8649.15</v>
      </c>
      <c r="J469" s="73" t="n">
        <v>7131.51</v>
      </c>
      <c r="K469" s="73" t="n">
        <v>0</v>
      </c>
      <c r="L469" s="163">
        <f>I469-J469</f>
        <v/>
      </c>
      <c r="M469" s="161">
        <f>IF(I469=0,0,ROUND((I469-J469)/I469,4))</f>
        <v/>
      </c>
      <c r="N469" s="107">
        <f>IF(I469=0,0,J469/I469)</f>
        <v/>
      </c>
      <c r="O469" s="108">
        <f>IF(L469&gt;=0,"Under","Over")</f>
        <v/>
      </c>
      <c r="P469" s="69">
        <f>IF(M469&lt;-0.05,"Watch","On Track")</f>
        <v/>
      </c>
    </row>
    <row r="470" ht="16" customHeight="1">
      <c r="A470" s="98" t="inlineStr">
        <is>
          <t>CC-00469</t>
        </is>
      </c>
      <c r="B470" s="99" t="inlineStr">
        <is>
          <t>EVT-2025-043</t>
        </is>
      </c>
      <c r="C470" s="100" t="inlineStr">
        <is>
          <t>Ferrozol Speaker Program Vienna Mar 2025</t>
        </is>
      </c>
      <c r="D470" s="100" t="inlineStr">
        <is>
          <t>Hematology</t>
        </is>
      </c>
      <c r="E470" s="100" t="inlineStr">
        <is>
          <t>BU Oncology</t>
        </is>
      </c>
      <c r="F470" s="99" t="inlineStr">
        <is>
          <t>Agency Fees</t>
        </is>
      </c>
      <c r="G470" s="99" t="inlineStr">
        <is>
          <t>Mar-2025</t>
        </is>
      </c>
      <c r="H470" s="99" t="inlineStr">
        <is>
          <t>Q1 2025</t>
        </is>
      </c>
      <c r="I470" s="101" t="n">
        <v>15136.02</v>
      </c>
      <c r="J470" s="101" t="n">
        <v>13606.78</v>
      </c>
      <c r="K470" s="101" t="n">
        <v>0</v>
      </c>
      <c r="L470" s="165">
        <f>I470-J470</f>
        <v/>
      </c>
      <c r="M470" s="166">
        <f>IF(I470=0,0,ROUND((I470-J470)/I470,4))</f>
        <v/>
      </c>
      <c r="N470" s="104">
        <f>IF(I470=0,0,J470/I470)</f>
        <v/>
      </c>
      <c r="O470" s="105">
        <f>IF(L470&gt;=0,"Under","Over")</f>
        <v/>
      </c>
      <c r="P470" s="69">
        <f>IF(M470&lt;-0.05,"Watch","On Track")</f>
        <v/>
      </c>
    </row>
    <row r="471" ht="16" customHeight="1">
      <c r="A471" s="106" t="inlineStr">
        <is>
          <t>CC-00470</t>
        </is>
      </c>
      <c r="B471" s="71" t="inlineStr">
        <is>
          <t>EVT-2025-043</t>
        </is>
      </c>
      <c r="C471" s="70" t="inlineStr">
        <is>
          <t>Ferrozol Speaker Program Vienna Mar 2025</t>
        </is>
      </c>
      <c r="D471" s="70" t="inlineStr">
        <is>
          <t>Hematology</t>
        </is>
      </c>
      <c r="E471" s="70" t="inlineStr">
        <is>
          <t>BU Oncology</t>
        </is>
      </c>
      <c r="F471" s="71" t="inlineStr">
        <is>
          <t>Speaker Fees</t>
        </is>
      </c>
      <c r="G471" s="71" t="inlineStr">
        <is>
          <t>Mar-2025</t>
        </is>
      </c>
      <c r="H471" s="71" t="inlineStr">
        <is>
          <t>Q1 2025</t>
        </is>
      </c>
      <c r="I471" s="73" t="n">
        <v>10811.44</v>
      </c>
      <c r="J471" s="73" t="n">
        <v>9634.309999999999</v>
      </c>
      <c r="K471" s="73" t="n">
        <v>0</v>
      </c>
      <c r="L471" s="163">
        <f>I471-J471</f>
        <v/>
      </c>
      <c r="M471" s="161">
        <f>IF(I471=0,0,ROUND((I471-J471)/I471,4))</f>
        <v/>
      </c>
      <c r="N471" s="107">
        <f>IF(I471=0,0,J471/I471)</f>
        <v/>
      </c>
      <c r="O471" s="108">
        <f>IF(L471&gt;=0,"Under","Over")</f>
        <v/>
      </c>
      <c r="P471" s="69">
        <f>IF(M471&lt;-0.05,"Watch","On Track")</f>
        <v/>
      </c>
    </row>
    <row r="472" ht="16" customHeight="1">
      <c r="A472" s="98" t="inlineStr">
        <is>
          <t>CC-00471</t>
        </is>
      </c>
      <c r="B472" s="99" t="inlineStr">
        <is>
          <t>EVT-2025-043</t>
        </is>
      </c>
      <c r="C472" s="100" t="inlineStr">
        <is>
          <t>Ferrozol Speaker Program Vienna Mar 2025</t>
        </is>
      </c>
      <c r="D472" s="100" t="inlineStr">
        <is>
          <t>Hematology</t>
        </is>
      </c>
      <c r="E472" s="100" t="inlineStr">
        <is>
          <t>BU Oncology</t>
        </is>
      </c>
      <c r="F472" s="99" t="inlineStr">
        <is>
          <t>Translation</t>
        </is>
      </c>
      <c r="G472" s="99" t="inlineStr">
        <is>
          <t>Mar-2025</t>
        </is>
      </c>
      <c r="H472" s="99" t="inlineStr">
        <is>
          <t>Q1 2025</t>
        </is>
      </c>
      <c r="I472" s="101" t="n">
        <v>3243.43</v>
      </c>
      <c r="J472" s="101" t="n">
        <v>2812.65</v>
      </c>
      <c r="K472" s="101" t="n">
        <v>0</v>
      </c>
      <c r="L472" s="165">
        <f>I472-J472</f>
        <v/>
      </c>
      <c r="M472" s="166">
        <f>IF(I472=0,0,ROUND((I472-J472)/I472,4))</f>
        <v/>
      </c>
      <c r="N472" s="104">
        <f>IF(I472=0,0,J472/I472)</f>
        <v/>
      </c>
      <c r="O472" s="105">
        <f>IF(L472&gt;=0,"Under","Over")</f>
        <v/>
      </c>
      <c r="P472" s="69">
        <f>IF(M472&lt;-0.05,"Watch","On Track")</f>
        <v/>
      </c>
    </row>
    <row r="473" ht="16" customHeight="1">
      <c r="A473" s="106" t="inlineStr">
        <is>
          <t>CC-00472</t>
        </is>
      </c>
      <c r="B473" s="71" t="inlineStr">
        <is>
          <t>EVT-2025-043</t>
        </is>
      </c>
      <c r="C473" s="70" t="inlineStr">
        <is>
          <t>Ferrozol Speaker Program Vienna Mar 2025</t>
        </is>
      </c>
      <c r="D473" s="70" t="inlineStr">
        <is>
          <t>Hematology</t>
        </is>
      </c>
      <c r="E473" s="70" t="inlineStr">
        <is>
          <t>BU Oncology</t>
        </is>
      </c>
      <c r="F473" s="71" t="inlineStr">
        <is>
          <t>Print &amp; Production</t>
        </is>
      </c>
      <c r="G473" s="71" t="inlineStr">
        <is>
          <t>Mar-2025</t>
        </is>
      </c>
      <c r="H473" s="71" t="inlineStr">
        <is>
          <t>Q1 2025</t>
        </is>
      </c>
      <c r="I473" s="73" t="n">
        <v>2162.29</v>
      </c>
      <c r="J473" s="73" t="n">
        <v>2295.81</v>
      </c>
      <c r="K473" s="73" t="n">
        <v>0</v>
      </c>
      <c r="L473" s="158">
        <f>I473-J473</f>
        <v/>
      </c>
      <c r="M473" s="159">
        <f>IF(I473=0,0,ROUND((I473-J473)/I473,4))</f>
        <v/>
      </c>
      <c r="N473" s="107">
        <f>IF(I473=0,0,J473/I473)</f>
        <v/>
      </c>
      <c r="O473" s="112">
        <f>IF(L473&gt;=0,"Under","Over")</f>
        <v/>
      </c>
      <c r="P473" s="76">
        <f>IF(M473&lt;-0.05,"Watch","On Track")</f>
        <v/>
      </c>
    </row>
    <row r="474" ht="16" customHeight="1">
      <c r="A474" s="98" t="inlineStr">
        <is>
          <t>CC-00473</t>
        </is>
      </c>
      <c r="B474" s="99" t="inlineStr">
        <is>
          <t>EVT-2025-043</t>
        </is>
      </c>
      <c r="C474" s="100" t="inlineStr">
        <is>
          <t>Ferrozol Speaker Program Vienna Mar 2025</t>
        </is>
      </c>
      <c r="D474" s="100" t="inlineStr">
        <is>
          <t>Hematology</t>
        </is>
      </c>
      <c r="E474" s="100" t="inlineStr">
        <is>
          <t>BU Oncology</t>
        </is>
      </c>
      <c r="F474" s="99" t="inlineStr">
        <is>
          <t>Miscellaneous</t>
        </is>
      </c>
      <c r="G474" s="99" t="inlineStr">
        <is>
          <t>Mar-2025</t>
        </is>
      </c>
      <c r="H474" s="99" t="inlineStr">
        <is>
          <t>Q1 2025</t>
        </is>
      </c>
      <c r="I474" s="101" t="n">
        <v>2162.29</v>
      </c>
      <c r="J474" s="101" t="n">
        <v>2237.57</v>
      </c>
      <c r="K474" s="101" t="n">
        <v>0</v>
      </c>
      <c r="L474" s="167">
        <f>I474-J474</f>
        <v/>
      </c>
      <c r="M474" s="166">
        <f>IF(I474=0,0,ROUND((I474-J474)/I474,4))</f>
        <v/>
      </c>
      <c r="N474" s="104">
        <f>IF(I474=0,0,J474/I474)</f>
        <v/>
      </c>
      <c r="O474" s="111">
        <f>IF(L474&gt;=0,"Under","Over")</f>
        <v/>
      </c>
      <c r="P474" s="69">
        <f>IF(M474&lt;-0.05,"Watch","On Track")</f>
        <v/>
      </c>
    </row>
    <row r="475" ht="16" customHeight="1">
      <c r="A475" s="106" t="inlineStr">
        <is>
          <t>CC-00474</t>
        </is>
      </c>
      <c r="B475" s="71" t="inlineStr">
        <is>
          <t>EVT-2025-044</t>
        </is>
      </c>
      <c r="C475" s="70" t="inlineStr">
        <is>
          <t>Vaccinade KOL Meeting Zurich Mar 2025</t>
        </is>
      </c>
      <c r="D475" s="70" t="inlineStr">
        <is>
          <t>Infectious Diseases</t>
        </is>
      </c>
      <c r="E475" s="70" t="inlineStr">
        <is>
          <t>BU Infectious Diseases</t>
        </is>
      </c>
      <c r="F475" s="71" t="inlineStr">
        <is>
          <t>Airfare</t>
        </is>
      </c>
      <c r="G475" s="71" t="inlineStr">
        <is>
          <t>Mar-2025</t>
        </is>
      </c>
      <c r="H475" s="71" t="inlineStr">
        <is>
          <t>Q1 2025</t>
        </is>
      </c>
      <c r="I475" s="73" t="n">
        <v>49333.09</v>
      </c>
      <c r="J475" s="73" t="n">
        <v>39917.89</v>
      </c>
      <c r="K475" s="73" t="n">
        <v>28382.8</v>
      </c>
      <c r="L475" s="163">
        <f>I475-J475</f>
        <v/>
      </c>
      <c r="M475" s="161">
        <f>IF(I475=0,0,ROUND((I475-J475)/I475,4))</f>
        <v/>
      </c>
      <c r="N475" s="107">
        <f>IF(I475=0,0,J475/I475)</f>
        <v/>
      </c>
      <c r="O475" s="108">
        <f>IF(L475&gt;=0,"Under","Over")</f>
        <v/>
      </c>
      <c r="P475" s="69">
        <f>IF(M475&lt;-0.05,"Watch","On Track")</f>
        <v/>
      </c>
    </row>
    <row r="476" ht="16" customHeight="1">
      <c r="A476" s="98" t="inlineStr">
        <is>
          <t>CC-00475</t>
        </is>
      </c>
      <c r="B476" s="99" t="inlineStr">
        <is>
          <t>EVT-2025-044</t>
        </is>
      </c>
      <c r="C476" s="100" t="inlineStr">
        <is>
          <t>Vaccinade KOL Meeting Zurich Mar 2025</t>
        </is>
      </c>
      <c r="D476" s="100" t="inlineStr">
        <is>
          <t>Infectious Diseases</t>
        </is>
      </c>
      <c r="E476" s="100" t="inlineStr">
        <is>
          <t>BU Infectious Diseases</t>
        </is>
      </c>
      <c r="F476" s="99" t="inlineStr">
        <is>
          <t>Hotel</t>
        </is>
      </c>
      <c r="G476" s="99" t="inlineStr">
        <is>
          <t>Mar-2025</t>
        </is>
      </c>
      <c r="H476" s="99" t="inlineStr">
        <is>
          <t>Q1 2025</t>
        </is>
      </c>
      <c r="I476" s="101" t="n">
        <v>88799.57000000001</v>
      </c>
      <c r="J476" s="101" t="n">
        <v>96277.74000000001</v>
      </c>
      <c r="K476" s="101" t="n">
        <v>87659.95</v>
      </c>
      <c r="L476" s="167">
        <f>I476-J476</f>
        <v/>
      </c>
      <c r="M476" s="168">
        <f>IF(I476=0,0,ROUND((I476-J476)/I476,4))</f>
        <v/>
      </c>
      <c r="N476" s="104">
        <f>IF(I476=0,0,J476/I476)</f>
        <v/>
      </c>
      <c r="O476" s="111">
        <f>IF(L476&gt;=0,"Under","Over")</f>
        <v/>
      </c>
      <c r="P476" s="76">
        <f>IF(M476&lt;-0.05,"Watch","On Track")</f>
        <v/>
      </c>
    </row>
    <row r="477" ht="16" customHeight="1">
      <c r="A477" s="106" t="inlineStr">
        <is>
          <t>CC-00476</t>
        </is>
      </c>
      <c r="B477" s="71" t="inlineStr">
        <is>
          <t>EVT-2025-044</t>
        </is>
      </c>
      <c r="C477" s="70" t="inlineStr">
        <is>
          <t>Vaccinade KOL Meeting Zurich Mar 2025</t>
        </is>
      </c>
      <c r="D477" s="70" t="inlineStr">
        <is>
          <t>Infectious Diseases</t>
        </is>
      </c>
      <c r="E477" s="70" t="inlineStr">
        <is>
          <t>BU Infectious Diseases</t>
        </is>
      </c>
      <c r="F477" s="71" t="inlineStr">
        <is>
          <t>Venue</t>
        </is>
      </c>
      <c r="G477" s="71" t="inlineStr">
        <is>
          <t>Mar-2025</t>
        </is>
      </c>
      <c r="H477" s="71" t="inlineStr">
        <is>
          <t>Q1 2025</t>
        </is>
      </c>
      <c r="I477" s="73" t="n">
        <v>73999.64</v>
      </c>
      <c r="J477" s="73" t="n">
        <v>74454.63</v>
      </c>
      <c r="K477" s="73" t="n">
        <v>65382.03</v>
      </c>
      <c r="L477" s="158">
        <f>I477-J477</f>
        <v/>
      </c>
      <c r="M477" s="161">
        <f>IF(I477=0,0,ROUND((I477-J477)/I477,4))</f>
        <v/>
      </c>
      <c r="N477" s="107">
        <f>IF(I477=0,0,J477/I477)</f>
        <v/>
      </c>
      <c r="O477" s="112">
        <f>IF(L477&gt;=0,"Under","Over")</f>
        <v/>
      </c>
      <c r="P477" s="69">
        <f>IF(M477&lt;-0.05,"Watch","On Track")</f>
        <v/>
      </c>
    </row>
    <row r="478" ht="16" customHeight="1">
      <c r="A478" s="98" t="inlineStr">
        <is>
          <t>CC-00477</t>
        </is>
      </c>
      <c r="B478" s="99" t="inlineStr">
        <is>
          <t>EVT-2025-044</t>
        </is>
      </c>
      <c r="C478" s="100" t="inlineStr">
        <is>
          <t>Vaccinade KOL Meeting Zurich Mar 2025</t>
        </is>
      </c>
      <c r="D478" s="100" t="inlineStr">
        <is>
          <t>Infectious Diseases</t>
        </is>
      </c>
      <c r="E478" s="100" t="inlineStr">
        <is>
          <t>BU Infectious Diseases</t>
        </is>
      </c>
      <c r="F478" s="99" t="inlineStr">
        <is>
          <t>F&amp;B</t>
        </is>
      </c>
      <c r="G478" s="99" t="inlineStr">
        <is>
          <t>Mar-2025</t>
        </is>
      </c>
      <c r="H478" s="99" t="inlineStr">
        <is>
          <t>Q1 2025</t>
        </is>
      </c>
      <c r="I478" s="101" t="n">
        <v>59199.71</v>
      </c>
      <c r="J478" s="101" t="n">
        <v>62585.97</v>
      </c>
      <c r="K478" s="101" t="n">
        <v>45863.68</v>
      </c>
      <c r="L478" s="167">
        <f>I478-J478</f>
        <v/>
      </c>
      <c r="M478" s="168">
        <f>IF(I478=0,0,ROUND((I478-J478)/I478,4))</f>
        <v/>
      </c>
      <c r="N478" s="104">
        <f>IF(I478=0,0,J478/I478)</f>
        <v/>
      </c>
      <c r="O478" s="111">
        <f>IF(L478&gt;=0,"Under","Over")</f>
        <v/>
      </c>
      <c r="P478" s="76">
        <f>IF(M478&lt;-0.05,"Watch","On Track")</f>
        <v/>
      </c>
    </row>
    <row r="479" ht="16" customHeight="1">
      <c r="A479" s="106" t="inlineStr">
        <is>
          <t>CC-00478</t>
        </is>
      </c>
      <c r="B479" s="71" t="inlineStr">
        <is>
          <t>EVT-2025-044</t>
        </is>
      </c>
      <c r="C479" s="70" t="inlineStr">
        <is>
          <t>Vaccinade KOL Meeting Zurich Mar 2025</t>
        </is>
      </c>
      <c r="D479" s="70" t="inlineStr">
        <is>
          <t>Infectious Diseases</t>
        </is>
      </c>
      <c r="E479" s="70" t="inlineStr">
        <is>
          <t>BU Infectious Diseases</t>
        </is>
      </c>
      <c r="F479" s="71" t="inlineStr">
        <is>
          <t>Logistics</t>
        </is>
      </c>
      <c r="G479" s="71" t="inlineStr">
        <is>
          <t>Mar-2025</t>
        </is>
      </c>
      <c r="H479" s="71" t="inlineStr">
        <is>
          <t>Q1 2025</t>
        </is>
      </c>
      <c r="I479" s="73" t="n">
        <v>29599.86</v>
      </c>
      <c r="J479" s="73" t="n">
        <v>21433.72</v>
      </c>
      <c r="K479" s="73" t="n">
        <v>19277.66</v>
      </c>
      <c r="L479" s="163">
        <f>I479-J479</f>
        <v/>
      </c>
      <c r="M479" s="161">
        <f>IF(I479=0,0,ROUND((I479-J479)/I479,4))</f>
        <v/>
      </c>
      <c r="N479" s="107">
        <f>IF(I479=0,0,J479/I479)</f>
        <v/>
      </c>
      <c r="O479" s="108">
        <f>IF(L479&gt;=0,"Under","Over")</f>
        <v/>
      </c>
      <c r="P479" s="69">
        <f>IF(M479&lt;-0.05,"Watch","On Track")</f>
        <v/>
      </c>
    </row>
    <row r="480" ht="16" customHeight="1">
      <c r="A480" s="98" t="inlineStr">
        <is>
          <t>CC-00479</t>
        </is>
      </c>
      <c r="B480" s="99" t="inlineStr">
        <is>
          <t>EVT-2025-044</t>
        </is>
      </c>
      <c r="C480" s="100" t="inlineStr">
        <is>
          <t>Vaccinade KOL Meeting Zurich Mar 2025</t>
        </is>
      </c>
      <c r="D480" s="100" t="inlineStr">
        <is>
          <t>Infectious Diseases</t>
        </is>
      </c>
      <c r="E480" s="100" t="inlineStr">
        <is>
          <t>BU Infectious Diseases</t>
        </is>
      </c>
      <c r="F480" s="99" t="inlineStr">
        <is>
          <t>AV &amp; Technology</t>
        </is>
      </c>
      <c r="G480" s="99" t="inlineStr">
        <is>
          <t>Mar-2025</t>
        </is>
      </c>
      <c r="H480" s="99" t="inlineStr">
        <is>
          <t>Q1 2025</t>
        </is>
      </c>
      <c r="I480" s="101" t="n">
        <v>39466.48</v>
      </c>
      <c r="J480" s="101" t="n">
        <v>26962.29</v>
      </c>
      <c r="K480" s="101" t="n">
        <v>23829.36</v>
      </c>
      <c r="L480" s="165">
        <f>I480-J480</f>
        <v/>
      </c>
      <c r="M480" s="166">
        <f>IF(I480=0,0,ROUND((I480-J480)/I480,4))</f>
        <v/>
      </c>
      <c r="N480" s="104">
        <f>IF(I480=0,0,J480/I480)</f>
        <v/>
      </c>
      <c r="O480" s="105">
        <f>IF(L480&gt;=0,"Under","Over")</f>
        <v/>
      </c>
      <c r="P480" s="69">
        <f>IF(M480&lt;-0.05,"Watch","On Track")</f>
        <v/>
      </c>
    </row>
    <row r="481" ht="16" customHeight="1">
      <c r="A481" s="106" t="inlineStr">
        <is>
          <t>CC-00480</t>
        </is>
      </c>
      <c r="B481" s="71" t="inlineStr">
        <is>
          <t>EVT-2025-044</t>
        </is>
      </c>
      <c r="C481" s="70" t="inlineStr">
        <is>
          <t>Vaccinade KOL Meeting Zurich Mar 2025</t>
        </is>
      </c>
      <c r="D481" s="70" t="inlineStr">
        <is>
          <t>Infectious Diseases</t>
        </is>
      </c>
      <c r="E481" s="70" t="inlineStr">
        <is>
          <t>BU Infectious Diseases</t>
        </is>
      </c>
      <c r="F481" s="71" t="inlineStr">
        <is>
          <t>Agency Fees</t>
        </is>
      </c>
      <c r="G481" s="71" t="inlineStr">
        <is>
          <t>Mar-2025</t>
        </is>
      </c>
      <c r="H481" s="71" t="inlineStr">
        <is>
          <t>Q1 2025</t>
        </is>
      </c>
      <c r="I481" s="73" t="n">
        <v>69066.33</v>
      </c>
      <c r="J481" s="73" t="n">
        <v>60889.58</v>
      </c>
      <c r="K481" s="73" t="n">
        <v>54405.41</v>
      </c>
      <c r="L481" s="163">
        <f>I481-J481</f>
        <v/>
      </c>
      <c r="M481" s="161">
        <f>IF(I481=0,0,ROUND((I481-J481)/I481,4))</f>
        <v/>
      </c>
      <c r="N481" s="107">
        <f>IF(I481=0,0,J481/I481)</f>
        <v/>
      </c>
      <c r="O481" s="108">
        <f>IF(L481&gt;=0,"Under","Over")</f>
        <v/>
      </c>
      <c r="P481" s="69">
        <f>IF(M481&lt;-0.05,"Watch","On Track")</f>
        <v/>
      </c>
    </row>
    <row r="482" ht="16" customHeight="1">
      <c r="A482" s="98" t="inlineStr">
        <is>
          <t>CC-00481</t>
        </is>
      </c>
      <c r="B482" s="99" t="inlineStr">
        <is>
          <t>EVT-2025-044</t>
        </is>
      </c>
      <c r="C482" s="100" t="inlineStr">
        <is>
          <t>Vaccinade KOL Meeting Zurich Mar 2025</t>
        </is>
      </c>
      <c r="D482" s="100" t="inlineStr">
        <is>
          <t>Infectious Diseases</t>
        </is>
      </c>
      <c r="E482" s="100" t="inlineStr">
        <is>
          <t>BU Infectious Diseases</t>
        </is>
      </c>
      <c r="F482" s="99" t="inlineStr">
        <is>
          <t>Speaker Fees</t>
        </is>
      </c>
      <c r="G482" s="99" t="inlineStr">
        <is>
          <t>Mar-2025</t>
        </is>
      </c>
      <c r="H482" s="99" t="inlineStr">
        <is>
          <t>Q1 2025</t>
        </is>
      </c>
      <c r="I482" s="101" t="n">
        <v>49333.09</v>
      </c>
      <c r="J482" s="101" t="n">
        <v>45552.78</v>
      </c>
      <c r="K482" s="101" t="n">
        <v>45099.23</v>
      </c>
      <c r="L482" s="165">
        <f>I482-J482</f>
        <v/>
      </c>
      <c r="M482" s="166">
        <f>IF(I482=0,0,ROUND((I482-J482)/I482,4))</f>
        <v/>
      </c>
      <c r="N482" s="104">
        <f>IF(I482=0,0,J482/I482)</f>
        <v/>
      </c>
      <c r="O482" s="105">
        <f>IF(L482&gt;=0,"Under","Over")</f>
        <v/>
      </c>
      <c r="P482" s="69">
        <f>IF(M482&lt;-0.05,"Watch","On Track")</f>
        <v/>
      </c>
    </row>
    <row r="483" ht="16" customHeight="1">
      <c r="A483" s="106" t="inlineStr">
        <is>
          <t>CC-00482</t>
        </is>
      </c>
      <c r="B483" s="71" t="inlineStr">
        <is>
          <t>EVT-2025-044</t>
        </is>
      </c>
      <c r="C483" s="70" t="inlineStr">
        <is>
          <t>Vaccinade KOL Meeting Zurich Mar 2025</t>
        </is>
      </c>
      <c r="D483" s="70" t="inlineStr">
        <is>
          <t>Infectious Diseases</t>
        </is>
      </c>
      <c r="E483" s="70" t="inlineStr">
        <is>
          <t>BU Infectious Diseases</t>
        </is>
      </c>
      <c r="F483" s="71" t="inlineStr">
        <is>
          <t>Translation</t>
        </is>
      </c>
      <c r="G483" s="71" t="inlineStr">
        <is>
          <t>Mar-2025</t>
        </is>
      </c>
      <c r="H483" s="71" t="inlineStr">
        <is>
          <t>Q1 2025</t>
        </is>
      </c>
      <c r="I483" s="73" t="n">
        <v>14799.93</v>
      </c>
      <c r="J483" s="73" t="n">
        <v>11333.76</v>
      </c>
      <c r="K483" s="73" t="n">
        <v>10640.92</v>
      </c>
      <c r="L483" s="163">
        <f>I483-J483</f>
        <v/>
      </c>
      <c r="M483" s="161">
        <f>IF(I483=0,0,ROUND((I483-J483)/I483,4))</f>
        <v/>
      </c>
      <c r="N483" s="107">
        <f>IF(I483=0,0,J483/I483)</f>
        <v/>
      </c>
      <c r="O483" s="108">
        <f>IF(L483&gt;=0,"Under","Over")</f>
        <v/>
      </c>
      <c r="P483" s="69">
        <f>IF(M483&lt;-0.05,"Watch","On Track")</f>
        <v/>
      </c>
    </row>
    <row r="484" ht="16" customHeight="1">
      <c r="A484" s="98" t="inlineStr">
        <is>
          <t>CC-00483</t>
        </is>
      </c>
      <c r="B484" s="99" t="inlineStr">
        <is>
          <t>EVT-2025-044</t>
        </is>
      </c>
      <c r="C484" s="100" t="inlineStr">
        <is>
          <t>Vaccinade KOL Meeting Zurich Mar 2025</t>
        </is>
      </c>
      <c r="D484" s="100" t="inlineStr">
        <is>
          <t>Infectious Diseases</t>
        </is>
      </c>
      <c r="E484" s="100" t="inlineStr">
        <is>
          <t>BU Infectious Diseases</t>
        </is>
      </c>
      <c r="F484" s="99" t="inlineStr">
        <is>
          <t>Print &amp; Production</t>
        </is>
      </c>
      <c r="G484" s="99" t="inlineStr">
        <is>
          <t>Mar-2025</t>
        </is>
      </c>
      <c r="H484" s="99" t="inlineStr">
        <is>
          <t>Q1 2025</t>
        </is>
      </c>
      <c r="I484" s="101" t="n">
        <v>9866.620000000001</v>
      </c>
      <c r="J484" s="101" t="n">
        <v>6442.63</v>
      </c>
      <c r="K484" s="101" t="n">
        <v>4700.43</v>
      </c>
      <c r="L484" s="165">
        <f>I484-J484</f>
        <v/>
      </c>
      <c r="M484" s="166">
        <f>IF(I484=0,0,ROUND((I484-J484)/I484,4))</f>
        <v/>
      </c>
      <c r="N484" s="104">
        <f>IF(I484=0,0,J484/I484)</f>
        <v/>
      </c>
      <c r="O484" s="105">
        <f>IF(L484&gt;=0,"Under","Over")</f>
        <v/>
      </c>
      <c r="P484" s="69">
        <f>IF(M484&lt;-0.05,"Watch","On Track")</f>
        <v/>
      </c>
    </row>
    <row r="485" ht="16" customHeight="1">
      <c r="A485" s="106" t="inlineStr">
        <is>
          <t>CC-00484</t>
        </is>
      </c>
      <c r="B485" s="71" t="inlineStr">
        <is>
          <t>EVT-2025-044</t>
        </is>
      </c>
      <c r="C485" s="70" t="inlineStr">
        <is>
          <t>Vaccinade KOL Meeting Zurich Mar 2025</t>
        </is>
      </c>
      <c r="D485" s="70" t="inlineStr">
        <is>
          <t>Infectious Diseases</t>
        </is>
      </c>
      <c r="E485" s="70" t="inlineStr">
        <is>
          <t>BU Infectious Diseases</t>
        </is>
      </c>
      <c r="F485" s="71" t="inlineStr">
        <is>
          <t>Miscellaneous</t>
        </is>
      </c>
      <c r="G485" s="71" t="inlineStr">
        <is>
          <t>Mar-2025</t>
        </is>
      </c>
      <c r="H485" s="71" t="inlineStr">
        <is>
          <t>Q1 2025</t>
        </is>
      </c>
      <c r="I485" s="73" t="n">
        <v>9866.620000000001</v>
      </c>
      <c r="J485" s="73" t="n">
        <v>7015.17</v>
      </c>
      <c r="K485" s="73" t="n">
        <v>6482.41</v>
      </c>
      <c r="L485" s="163">
        <f>I485-J485</f>
        <v/>
      </c>
      <c r="M485" s="161">
        <f>IF(I485=0,0,ROUND((I485-J485)/I485,4))</f>
        <v/>
      </c>
      <c r="N485" s="107">
        <f>IF(I485=0,0,J485/I485)</f>
        <v/>
      </c>
      <c r="O485" s="108">
        <f>IF(L485&gt;=0,"Under","Over")</f>
        <v/>
      </c>
      <c r="P485" s="69">
        <f>IF(M485&lt;-0.05,"Watch","On Track")</f>
        <v/>
      </c>
    </row>
    <row r="486" ht="16" customHeight="1">
      <c r="A486" s="98" t="inlineStr">
        <is>
          <t>CC-00485</t>
        </is>
      </c>
      <c r="B486" s="99" t="inlineStr">
        <is>
          <t>EVT-2025-045</t>
        </is>
      </c>
      <c r="C486" s="100" t="inlineStr">
        <is>
          <t>Imunexal Symposium Brussels Jun 2025</t>
        </is>
      </c>
      <c r="D486" s="100" t="inlineStr">
        <is>
          <t>Immunology</t>
        </is>
      </c>
      <c r="E486" s="100" t="inlineStr">
        <is>
          <t>BU Immunology</t>
        </is>
      </c>
      <c r="F486" s="99" t="inlineStr">
        <is>
          <t>Airfare</t>
        </is>
      </c>
      <c r="G486" s="99" t="inlineStr">
        <is>
          <t>Jun-2025</t>
        </is>
      </c>
      <c r="H486" s="99" t="inlineStr">
        <is>
          <t>Q2 2025</t>
        </is>
      </c>
      <c r="I486" s="101" t="n">
        <v>10438.95</v>
      </c>
      <c r="J486" s="101" t="n">
        <v>9175.799999999999</v>
      </c>
      <c r="K486" s="101" t="n">
        <v>0</v>
      </c>
      <c r="L486" s="165">
        <f>I486-J486</f>
        <v/>
      </c>
      <c r="M486" s="166">
        <f>IF(I486=0,0,ROUND((I486-J486)/I486,4))</f>
        <v/>
      </c>
      <c r="N486" s="104">
        <f>IF(I486=0,0,J486/I486)</f>
        <v/>
      </c>
      <c r="O486" s="105">
        <f>IF(L486&gt;=0,"Under","Over")</f>
        <v/>
      </c>
      <c r="P486" s="69">
        <f>IF(M486&lt;-0.05,"Watch","On Track")</f>
        <v/>
      </c>
    </row>
    <row r="487" ht="16" customHeight="1">
      <c r="A487" s="106" t="inlineStr">
        <is>
          <t>CC-00486</t>
        </is>
      </c>
      <c r="B487" s="71" t="inlineStr">
        <is>
          <t>EVT-2025-045</t>
        </is>
      </c>
      <c r="C487" s="70" t="inlineStr">
        <is>
          <t>Imunexal Symposium Brussels Jun 2025</t>
        </is>
      </c>
      <c r="D487" s="70" t="inlineStr">
        <is>
          <t>Immunology</t>
        </is>
      </c>
      <c r="E487" s="70" t="inlineStr">
        <is>
          <t>BU Immunology</t>
        </is>
      </c>
      <c r="F487" s="71" t="inlineStr">
        <is>
          <t>Hotel</t>
        </is>
      </c>
      <c r="G487" s="71" t="inlineStr">
        <is>
          <t>Jun-2025</t>
        </is>
      </c>
      <c r="H487" s="71" t="inlineStr">
        <is>
          <t>Q2 2025</t>
        </is>
      </c>
      <c r="I487" s="73" t="n">
        <v>18790.12</v>
      </c>
      <c r="J487" s="73" t="n">
        <v>17734.72</v>
      </c>
      <c r="K487" s="73" t="n">
        <v>0</v>
      </c>
      <c r="L487" s="163">
        <f>I487-J487</f>
        <v/>
      </c>
      <c r="M487" s="161">
        <f>IF(I487=0,0,ROUND((I487-J487)/I487,4))</f>
        <v/>
      </c>
      <c r="N487" s="107">
        <f>IF(I487=0,0,J487/I487)</f>
        <v/>
      </c>
      <c r="O487" s="108">
        <f>IF(L487&gt;=0,"Under","Over")</f>
        <v/>
      </c>
      <c r="P487" s="69">
        <f>IF(M487&lt;-0.05,"Watch","On Track")</f>
        <v/>
      </c>
    </row>
    <row r="488" ht="16" customHeight="1">
      <c r="A488" s="98" t="inlineStr">
        <is>
          <t>CC-00487</t>
        </is>
      </c>
      <c r="B488" s="99" t="inlineStr">
        <is>
          <t>EVT-2025-045</t>
        </is>
      </c>
      <c r="C488" s="100" t="inlineStr">
        <is>
          <t>Imunexal Symposium Brussels Jun 2025</t>
        </is>
      </c>
      <c r="D488" s="100" t="inlineStr">
        <is>
          <t>Immunology</t>
        </is>
      </c>
      <c r="E488" s="100" t="inlineStr">
        <is>
          <t>BU Immunology</t>
        </is>
      </c>
      <c r="F488" s="99" t="inlineStr">
        <is>
          <t>Venue</t>
        </is>
      </c>
      <c r="G488" s="99" t="inlineStr">
        <is>
          <t>Jun-2025</t>
        </is>
      </c>
      <c r="H488" s="99" t="inlineStr">
        <is>
          <t>Q2 2025</t>
        </is>
      </c>
      <c r="I488" s="101" t="n">
        <v>15658.43</v>
      </c>
      <c r="J488" s="101" t="n">
        <v>11125.56</v>
      </c>
      <c r="K488" s="101" t="n">
        <v>0</v>
      </c>
      <c r="L488" s="165">
        <f>I488-J488</f>
        <v/>
      </c>
      <c r="M488" s="166">
        <f>IF(I488=0,0,ROUND((I488-J488)/I488,4))</f>
        <v/>
      </c>
      <c r="N488" s="104">
        <f>IF(I488=0,0,J488/I488)</f>
        <v/>
      </c>
      <c r="O488" s="105">
        <f>IF(L488&gt;=0,"Under","Over")</f>
        <v/>
      </c>
      <c r="P488" s="69">
        <f>IF(M488&lt;-0.05,"Watch","On Track")</f>
        <v/>
      </c>
    </row>
    <row r="489" ht="16" customHeight="1">
      <c r="A489" s="106" t="inlineStr">
        <is>
          <t>CC-00488</t>
        </is>
      </c>
      <c r="B489" s="71" t="inlineStr">
        <is>
          <t>EVT-2025-045</t>
        </is>
      </c>
      <c r="C489" s="70" t="inlineStr">
        <is>
          <t>Imunexal Symposium Brussels Jun 2025</t>
        </is>
      </c>
      <c r="D489" s="70" t="inlineStr">
        <is>
          <t>Immunology</t>
        </is>
      </c>
      <c r="E489" s="70" t="inlineStr">
        <is>
          <t>BU Immunology</t>
        </is>
      </c>
      <c r="F489" s="71" t="inlineStr">
        <is>
          <t>F&amp;B</t>
        </is>
      </c>
      <c r="G489" s="71" t="inlineStr">
        <is>
          <t>Jun-2025</t>
        </is>
      </c>
      <c r="H489" s="71" t="inlineStr">
        <is>
          <t>Q2 2025</t>
        </is>
      </c>
      <c r="I489" s="73" t="n">
        <v>12526.74</v>
      </c>
      <c r="J489" s="73" t="n">
        <v>9859.290000000001</v>
      </c>
      <c r="K489" s="73" t="n">
        <v>0</v>
      </c>
      <c r="L489" s="163">
        <f>I489-J489</f>
        <v/>
      </c>
      <c r="M489" s="161">
        <f>IF(I489=0,0,ROUND((I489-J489)/I489,4))</f>
        <v/>
      </c>
      <c r="N489" s="107">
        <f>IF(I489=0,0,J489/I489)</f>
        <v/>
      </c>
      <c r="O489" s="108">
        <f>IF(L489&gt;=0,"Under","Over")</f>
        <v/>
      </c>
      <c r="P489" s="69">
        <f>IF(M489&lt;-0.05,"Watch","On Track")</f>
        <v/>
      </c>
    </row>
    <row r="490" ht="16" customHeight="1">
      <c r="A490" s="98" t="inlineStr">
        <is>
          <t>CC-00489</t>
        </is>
      </c>
      <c r="B490" s="99" t="inlineStr">
        <is>
          <t>EVT-2025-045</t>
        </is>
      </c>
      <c r="C490" s="100" t="inlineStr">
        <is>
          <t>Imunexal Symposium Brussels Jun 2025</t>
        </is>
      </c>
      <c r="D490" s="100" t="inlineStr">
        <is>
          <t>Immunology</t>
        </is>
      </c>
      <c r="E490" s="100" t="inlineStr">
        <is>
          <t>BU Immunology</t>
        </is>
      </c>
      <c r="F490" s="99" t="inlineStr">
        <is>
          <t>Logistics</t>
        </is>
      </c>
      <c r="G490" s="99" t="inlineStr">
        <is>
          <t>Jun-2025</t>
        </is>
      </c>
      <c r="H490" s="99" t="inlineStr">
        <is>
          <t>Q2 2025</t>
        </is>
      </c>
      <c r="I490" s="101" t="n">
        <v>6263.37</v>
      </c>
      <c r="J490" s="101" t="n">
        <v>5208.19</v>
      </c>
      <c r="K490" s="101" t="n">
        <v>0</v>
      </c>
      <c r="L490" s="165">
        <f>I490-J490</f>
        <v/>
      </c>
      <c r="M490" s="166">
        <f>IF(I490=0,0,ROUND((I490-J490)/I490,4))</f>
        <v/>
      </c>
      <c r="N490" s="104">
        <f>IF(I490=0,0,J490/I490)</f>
        <v/>
      </c>
      <c r="O490" s="105">
        <f>IF(L490&gt;=0,"Under","Over")</f>
        <v/>
      </c>
      <c r="P490" s="69">
        <f>IF(M490&lt;-0.05,"Watch","On Track")</f>
        <v/>
      </c>
    </row>
    <row r="491" ht="16" customHeight="1">
      <c r="A491" s="106" t="inlineStr">
        <is>
          <t>CC-00490</t>
        </is>
      </c>
      <c r="B491" s="71" t="inlineStr">
        <is>
          <t>EVT-2025-045</t>
        </is>
      </c>
      <c r="C491" s="70" t="inlineStr">
        <is>
          <t>Imunexal Symposium Brussels Jun 2025</t>
        </is>
      </c>
      <c r="D491" s="70" t="inlineStr">
        <is>
          <t>Immunology</t>
        </is>
      </c>
      <c r="E491" s="70" t="inlineStr">
        <is>
          <t>BU Immunology</t>
        </is>
      </c>
      <c r="F491" s="71" t="inlineStr">
        <is>
          <t>AV &amp; Technology</t>
        </is>
      </c>
      <c r="G491" s="71" t="inlineStr">
        <is>
          <t>Jun-2025</t>
        </is>
      </c>
      <c r="H491" s="71" t="inlineStr">
        <is>
          <t>Q2 2025</t>
        </is>
      </c>
      <c r="I491" s="73" t="n">
        <v>8351.16</v>
      </c>
      <c r="J491" s="73" t="n">
        <v>7848.23</v>
      </c>
      <c r="K491" s="73" t="n">
        <v>0</v>
      </c>
      <c r="L491" s="163">
        <f>I491-J491</f>
        <v/>
      </c>
      <c r="M491" s="161">
        <f>IF(I491=0,0,ROUND((I491-J491)/I491,4))</f>
        <v/>
      </c>
      <c r="N491" s="107">
        <f>IF(I491=0,0,J491/I491)</f>
        <v/>
      </c>
      <c r="O491" s="108">
        <f>IF(L491&gt;=0,"Under","Over")</f>
        <v/>
      </c>
      <c r="P491" s="69">
        <f>IF(M491&lt;-0.05,"Watch","On Track")</f>
        <v/>
      </c>
    </row>
    <row r="492" ht="16" customHeight="1">
      <c r="A492" s="98" t="inlineStr">
        <is>
          <t>CC-00491</t>
        </is>
      </c>
      <c r="B492" s="99" t="inlineStr">
        <is>
          <t>EVT-2025-045</t>
        </is>
      </c>
      <c r="C492" s="100" t="inlineStr">
        <is>
          <t>Imunexal Symposium Brussels Jun 2025</t>
        </is>
      </c>
      <c r="D492" s="100" t="inlineStr">
        <is>
          <t>Immunology</t>
        </is>
      </c>
      <c r="E492" s="100" t="inlineStr">
        <is>
          <t>BU Immunology</t>
        </is>
      </c>
      <c r="F492" s="99" t="inlineStr">
        <is>
          <t>Agency Fees</t>
        </is>
      </c>
      <c r="G492" s="99" t="inlineStr">
        <is>
          <t>Jun-2025</t>
        </is>
      </c>
      <c r="H492" s="99" t="inlineStr">
        <is>
          <t>Q2 2025</t>
        </is>
      </c>
      <c r="I492" s="101" t="n">
        <v>14614.53</v>
      </c>
      <c r="J492" s="101" t="n">
        <v>13813.93</v>
      </c>
      <c r="K492" s="101" t="n">
        <v>0</v>
      </c>
      <c r="L492" s="165">
        <f>I492-J492</f>
        <v/>
      </c>
      <c r="M492" s="166">
        <f>IF(I492=0,0,ROUND((I492-J492)/I492,4))</f>
        <v/>
      </c>
      <c r="N492" s="104">
        <f>IF(I492=0,0,J492/I492)</f>
        <v/>
      </c>
      <c r="O492" s="105">
        <f>IF(L492&gt;=0,"Under","Over")</f>
        <v/>
      </c>
      <c r="P492" s="69">
        <f>IF(M492&lt;-0.05,"Watch","On Track")</f>
        <v/>
      </c>
    </row>
    <row r="493" ht="16" customHeight="1">
      <c r="A493" s="106" t="inlineStr">
        <is>
          <t>CC-00492</t>
        </is>
      </c>
      <c r="B493" s="71" t="inlineStr">
        <is>
          <t>EVT-2025-045</t>
        </is>
      </c>
      <c r="C493" s="70" t="inlineStr">
        <is>
          <t>Imunexal Symposium Brussels Jun 2025</t>
        </is>
      </c>
      <c r="D493" s="70" t="inlineStr">
        <is>
          <t>Immunology</t>
        </is>
      </c>
      <c r="E493" s="70" t="inlineStr">
        <is>
          <t>BU Immunology</t>
        </is>
      </c>
      <c r="F493" s="71" t="inlineStr">
        <is>
          <t>Speaker Fees</t>
        </is>
      </c>
      <c r="G493" s="71" t="inlineStr">
        <is>
          <t>Jun-2025</t>
        </is>
      </c>
      <c r="H493" s="71" t="inlineStr">
        <is>
          <t>Q2 2025</t>
        </is>
      </c>
      <c r="I493" s="73" t="n">
        <v>10438.95</v>
      </c>
      <c r="J493" s="73" t="n">
        <v>7050.18</v>
      </c>
      <c r="K493" s="73" t="n">
        <v>0</v>
      </c>
      <c r="L493" s="163">
        <f>I493-J493</f>
        <v/>
      </c>
      <c r="M493" s="161">
        <f>IF(I493=0,0,ROUND((I493-J493)/I493,4))</f>
        <v/>
      </c>
      <c r="N493" s="107">
        <f>IF(I493=0,0,J493/I493)</f>
        <v/>
      </c>
      <c r="O493" s="108">
        <f>IF(L493&gt;=0,"Under","Over")</f>
        <v/>
      </c>
      <c r="P493" s="69">
        <f>IF(M493&lt;-0.05,"Watch","On Track")</f>
        <v/>
      </c>
    </row>
    <row r="494" ht="16" customHeight="1">
      <c r="A494" s="98" t="inlineStr">
        <is>
          <t>CC-00493</t>
        </is>
      </c>
      <c r="B494" s="99" t="inlineStr">
        <is>
          <t>EVT-2025-045</t>
        </is>
      </c>
      <c r="C494" s="100" t="inlineStr">
        <is>
          <t>Imunexal Symposium Brussels Jun 2025</t>
        </is>
      </c>
      <c r="D494" s="100" t="inlineStr">
        <is>
          <t>Immunology</t>
        </is>
      </c>
      <c r="E494" s="100" t="inlineStr">
        <is>
          <t>BU Immunology</t>
        </is>
      </c>
      <c r="F494" s="99" t="inlineStr">
        <is>
          <t>Translation</t>
        </is>
      </c>
      <c r="G494" s="99" t="inlineStr">
        <is>
          <t>Jun-2025</t>
        </is>
      </c>
      <c r="H494" s="99" t="inlineStr">
        <is>
          <t>Q2 2025</t>
        </is>
      </c>
      <c r="I494" s="101" t="n">
        <v>3131.69</v>
      </c>
      <c r="J494" s="101" t="n">
        <v>3441.26</v>
      </c>
      <c r="K494" s="101" t="n">
        <v>0</v>
      </c>
      <c r="L494" s="167">
        <f>I494-J494</f>
        <v/>
      </c>
      <c r="M494" s="168">
        <f>IF(I494=0,0,ROUND((I494-J494)/I494,4))</f>
        <v/>
      </c>
      <c r="N494" s="104">
        <f>IF(I494=0,0,J494/I494)</f>
        <v/>
      </c>
      <c r="O494" s="111">
        <f>IF(L494&gt;=0,"Under","Over")</f>
        <v/>
      </c>
      <c r="P494" s="76">
        <f>IF(M494&lt;-0.05,"Watch","On Track")</f>
        <v/>
      </c>
    </row>
    <row r="495" ht="16" customHeight="1">
      <c r="A495" s="106" t="inlineStr">
        <is>
          <t>CC-00494</t>
        </is>
      </c>
      <c r="B495" s="71" t="inlineStr">
        <is>
          <t>EVT-2025-045</t>
        </is>
      </c>
      <c r="C495" s="70" t="inlineStr">
        <is>
          <t>Imunexal Symposium Brussels Jun 2025</t>
        </is>
      </c>
      <c r="D495" s="70" t="inlineStr">
        <is>
          <t>Immunology</t>
        </is>
      </c>
      <c r="E495" s="70" t="inlineStr">
        <is>
          <t>BU Immunology</t>
        </is>
      </c>
      <c r="F495" s="71" t="inlineStr">
        <is>
          <t>Print &amp; Production</t>
        </is>
      </c>
      <c r="G495" s="71" t="inlineStr">
        <is>
          <t>Jun-2025</t>
        </is>
      </c>
      <c r="H495" s="71" t="inlineStr">
        <is>
          <t>Q2 2025</t>
        </is>
      </c>
      <c r="I495" s="73" t="n">
        <v>2087.79</v>
      </c>
      <c r="J495" s="73" t="n">
        <v>1756.64</v>
      </c>
      <c r="K495" s="73" t="n">
        <v>0</v>
      </c>
      <c r="L495" s="163">
        <f>I495-J495</f>
        <v/>
      </c>
      <c r="M495" s="161">
        <f>IF(I495=0,0,ROUND((I495-J495)/I495,4))</f>
        <v/>
      </c>
      <c r="N495" s="107">
        <f>IF(I495=0,0,J495/I495)</f>
        <v/>
      </c>
      <c r="O495" s="108">
        <f>IF(L495&gt;=0,"Under","Over")</f>
        <v/>
      </c>
      <c r="P495" s="69">
        <f>IF(M495&lt;-0.05,"Watch","On Track")</f>
        <v/>
      </c>
    </row>
    <row r="496" ht="16" customHeight="1">
      <c r="A496" s="98" t="inlineStr">
        <is>
          <t>CC-00495</t>
        </is>
      </c>
      <c r="B496" s="99" t="inlineStr">
        <is>
          <t>EVT-2025-045</t>
        </is>
      </c>
      <c r="C496" s="100" t="inlineStr">
        <is>
          <t>Imunexal Symposium Brussels Jun 2025</t>
        </is>
      </c>
      <c r="D496" s="100" t="inlineStr">
        <is>
          <t>Immunology</t>
        </is>
      </c>
      <c r="E496" s="100" t="inlineStr">
        <is>
          <t>BU Immunology</t>
        </is>
      </c>
      <c r="F496" s="99" t="inlineStr">
        <is>
          <t>Miscellaneous</t>
        </is>
      </c>
      <c r="G496" s="99" t="inlineStr">
        <is>
          <t>Jun-2025</t>
        </is>
      </c>
      <c r="H496" s="99" t="inlineStr">
        <is>
          <t>Q2 2025</t>
        </is>
      </c>
      <c r="I496" s="101" t="n">
        <v>2087.79</v>
      </c>
      <c r="J496" s="101" t="n">
        <v>1561.07</v>
      </c>
      <c r="K496" s="101" t="n">
        <v>0</v>
      </c>
      <c r="L496" s="165">
        <f>I496-J496</f>
        <v/>
      </c>
      <c r="M496" s="166">
        <f>IF(I496=0,0,ROUND((I496-J496)/I496,4))</f>
        <v/>
      </c>
      <c r="N496" s="104">
        <f>IF(I496=0,0,J496/I496)</f>
        <v/>
      </c>
      <c r="O496" s="105">
        <f>IF(L496&gt;=0,"Under","Over")</f>
        <v/>
      </c>
      <c r="P496" s="69">
        <f>IF(M496&lt;-0.05,"Watch","On Track")</f>
        <v/>
      </c>
    </row>
    <row r="497" ht="16" customHeight="1">
      <c r="A497" s="106" t="inlineStr">
        <is>
          <t>CC-00496</t>
        </is>
      </c>
      <c r="B497" s="71" t="inlineStr">
        <is>
          <t>EVT-2025-046</t>
        </is>
      </c>
      <c r="C497" s="70" t="inlineStr">
        <is>
          <t>Vaccinade Advisory Board Zurich Jun 2025</t>
        </is>
      </c>
      <c r="D497" s="70" t="inlineStr">
        <is>
          <t>Infectious Diseases</t>
        </is>
      </c>
      <c r="E497" s="70" t="inlineStr">
        <is>
          <t>BU Infectious Diseases</t>
        </is>
      </c>
      <c r="F497" s="71" t="inlineStr">
        <is>
          <t>Airfare</t>
        </is>
      </c>
      <c r="G497" s="71" t="inlineStr">
        <is>
          <t>Jun-2025</t>
        </is>
      </c>
      <c r="H497" s="71" t="inlineStr">
        <is>
          <t>Q2 2025</t>
        </is>
      </c>
      <c r="I497" s="73" t="n">
        <v>18470.82</v>
      </c>
      <c r="J497" s="73" t="n">
        <v>19584.13</v>
      </c>
      <c r="K497" s="73" t="n">
        <v>14213.31</v>
      </c>
      <c r="L497" s="158">
        <f>I497-J497</f>
        <v/>
      </c>
      <c r="M497" s="159">
        <f>IF(I497=0,0,ROUND((I497-J497)/I497,4))</f>
        <v/>
      </c>
      <c r="N497" s="107">
        <f>IF(I497=0,0,J497/I497)</f>
        <v/>
      </c>
      <c r="O497" s="112">
        <f>IF(L497&gt;=0,"Under","Over")</f>
        <v/>
      </c>
      <c r="P497" s="76">
        <f>IF(M497&lt;-0.05,"Watch","On Track")</f>
        <v/>
      </c>
    </row>
    <row r="498" ht="16" customHeight="1">
      <c r="A498" s="98" t="inlineStr">
        <is>
          <t>CC-00497</t>
        </is>
      </c>
      <c r="B498" s="99" t="inlineStr">
        <is>
          <t>EVT-2025-046</t>
        </is>
      </c>
      <c r="C498" s="100" t="inlineStr">
        <is>
          <t>Vaccinade Advisory Board Zurich Jun 2025</t>
        </is>
      </c>
      <c r="D498" s="100" t="inlineStr">
        <is>
          <t>Infectious Diseases</t>
        </is>
      </c>
      <c r="E498" s="100" t="inlineStr">
        <is>
          <t>BU Infectious Diseases</t>
        </is>
      </c>
      <c r="F498" s="99" t="inlineStr">
        <is>
          <t>Hotel</t>
        </is>
      </c>
      <c r="G498" s="99" t="inlineStr">
        <is>
          <t>Jun-2025</t>
        </is>
      </c>
      <c r="H498" s="99" t="inlineStr">
        <is>
          <t>Q2 2025</t>
        </is>
      </c>
      <c r="I498" s="101" t="n">
        <v>33247.48</v>
      </c>
      <c r="J498" s="101" t="n">
        <v>33768.1</v>
      </c>
      <c r="K498" s="101" t="n">
        <v>31034.41</v>
      </c>
      <c r="L498" s="167">
        <f>I498-J498</f>
        <v/>
      </c>
      <c r="M498" s="166">
        <f>IF(I498=0,0,ROUND((I498-J498)/I498,4))</f>
        <v/>
      </c>
      <c r="N498" s="104">
        <f>IF(I498=0,0,J498/I498)</f>
        <v/>
      </c>
      <c r="O498" s="111">
        <f>IF(L498&gt;=0,"Under","Over")</f>
        <v/>
      </c>
      <c r="P498" s="69">
        <f>IF(M498&lt;-0.05,"Watch","On Track")</f>
        <v/>
      </c>
    </row>
    <row r="499" ht="16" customHeight="1">
      <c r="A499" s="106" t="inlineStr">
        <is>
          <t>CC-00498</t>
        </is>
      </c>
      <c r="B499" s="71" t="inlineStr">
        <is>
          <t>EVT-2025-046</t>
        </is>
      </c>
      <c r="C499" s="70" t="inlineStr">
        <is>
          <t>Vaccinade Advisory Board Zurich Jun 2025</t>
        </is>
      </c>
      <c r="D499" s="70" t="inlineStr">
        <is>
          <t>Infectious Diseases</t>
        </is>
      </c>
      <c r="E499" s="70" t="inlineStr">
        <is>
          <t>BU Infectious Diseases</t>
        </is>
      </c>
      <c r="F499" s="71" t="inlineStr">
        <is>
          <t>Venue</t>
        </is>
      </c>
      <c r="G499" s="71" t="inlineStr">
        <is>
          <t>Jun-2025</t>
        </is>
      </c>
      <c r="H499" s="71" t="inlineStr">
        <is>
          <t>Q2 2025</t>
        </is>
      </c>
      <c r="I499" s="73" t="n">
        <v>27706.24</v>
      </c>
      <c r="J499" s="73" t="n">
        <v>21449.18</v>
      </c>
      <c r="K499" s="73" t="n">
        <v>17221.98</v>
      </c>
      <c r="L499" s="163">
        <f>I499-J499</f>
        <v/>
      </c>
      <c r="M499" s="161">
        <f>IF(I499=0,0,ROUND((I499-J499)/I499,4))</f>
        <v/>
      </c>
      <c r="N499" s="107">
        <f>IF(I499=0,0,J499/I499)</f>
        <v/>
      </c>
      <c r="O499" s="108">
        <f>IF(L499&gt;=0,"Under","Over")</f>
        <v/>
      </c>
      <c r="P499" s="69">
        <f>IF(M499&lt;-0.05,"Watch","On Track")</f>
        <v/>
      </c>
    </row>
    <row r="500" ht="16" customHeight="1">
      <c r="A500" s="98" t="inlineStr">
        <is>
          <t>CC-00499</t>
        </is>
      </c>
      <c r="B500" s="99" t="inlineStr">
        <is>
          <t>EVT-2025-046</t>
        </is>
      </c>
      <c r="C500" s="100" t="inlineStr">
        <is>
          <t>Vaccinade Advisory Board Zurich Jun 2025</t>
        </is>
      </c>
      <c r="D500" s="100" t="inlineStr">
        <is>
          <t>Infectious Diseases</t>
        </is>
      </c>
      <c r="E500" s="100" t="inlineStr">
        <is>
          <t>BU Infectious Diseases</t>
        </is>
      </c>
      <c r="F500" s="99" t="inlineStr">
        <is>
          <t>F&amp;B</t>
        </is>
      </c>
      <c r="G500" s="99" t="inlineStr">
        <is>
          <t>Jun-2025</t>
        </is>
      </c>
      <c r="H500" s="99" t="inlineStr">
        <is>
          <t>Q2 2025</t>
        </is>
      </c>
      <c r="I500" s="101" t="n">
        <v>22164.99</v>
      </c>
      <c r="J500" s="101" t="n">
        <v>21990.66</v>
      </c>
      <c r="K500" s="101" t="n">
        <v>18831.36</v>
      </c>
      <c r="L500" s="165">
        <f>I500-J500</f>
        <v/>
      </c>
      <c r="M500" s="166">
        <f>IF(I500=0,0,ROUND((I500-J500)/I500,4))</f>
        <v/>
      </c>
      <c r="N500" s="104">
        <f>IF(I500=0,0,J500/I500)</f>
        <v/>
      </c>
      <c r="O500" s="105">
        <f>IF(L500&gt;=0,"Under","Over")</f>
        <v/>
      </c>
      <c r="P500" s="69">
        <f>IF(M500&lt;-0.05,"Watch","On Track")</f>
        <v/>
      </c>
    </row>
    <row r="501" ht="16" customHeight="1">
      <c r="A501" s="106" t="inlineStr">
        <is>
          <t>CC-00500</t>
        </is>
      </c>
      <c r="B501" s="71" t="inlineStr">
        <is>
          <t>EVT-2025-046</t>
        </is>
      </c>
      <c r="C501" s="70" t="inlineStr">
        <is>
          <t>Vaccinade Advisory Board Zurich Jun 2025</t>
        </is>
      </c>
      <c r="D501" s="70" t="inlineStr">
        <is>
          <t>Infectious Diseases</t>
        </is>
      </c>
      <c r="E501" s="70" t="inlineStr">
        <is>
          <t>BU Infectious Diseases</t>
        </is>
      </c>
      <c r="F501" s="71" t="inlineStr">
        <is>
          <t>Logistics</t>
        </is>
      </c>
      <c r="G501" s="71" t="inlineStr">
        <is>
          <t>Jun-2025</t>
        </is>
      </c>
      <c r="H501" s="71" t="inlineStr">
        <is>
          <t>Q2 2025</t>
        </is>
      </c>
      <c r="I501" s="73" t="n">
        <v>11082.49</v>
      </c>
      <c r="J501" s="73" t="n">
        <v>8579.51</v>
      </c>
      <c r="K501" s="73" t="n">
        <v>6256.92</v>
      </c>
      <c r="L501" s="163">
        <f>I501-J501</f>
        <v/>
      </c>
      <c r="M501" s="161">
        <f>IF(I501=0,0,ROUND((I501-J501)/I501,4))</f>
        <v/>
      </c>
      <c r="N501" s="107">
        <f>IF(I501=0,0,J501/I501)</f>
        <v/>
      </c>
      <c r="O501" s="108">
        <f>IF(L501&gt;=0,"Under","Over")</f>
        <v/>
      </c>
      <c r="P501" s="69">
        <f>IF(M501&lt;-0.05,"Watch","On Track")</f>
        <v/>
      </c>
    </row>
    <row r="502" ht="16" customHeight="1">
      <c r="A502" s="98" t="inlineStr">
        <is>
          <t>CC-00501</t>
        </is>
      </c>
      <c r="B502" s="99" t="inlineStr">
        <is>
          <t>EVT-2025-046</t>
        </is>
      </c>
      <c r="C502" s="100" t="inlineStr">
        <is>
          <t>Vaccinade Advisory Board Zurich Jun 2025</t>
        </is>
      </c>
      <c r="D502" s="100" t="inlineStr">
        <is>
          <t>Infectious Diseases</t>
        </is>
      </c>
      <c r="E502" s="100" t="inlineStr">
        <is>
          <t>BU Infectious Diseases</t>
        </is>
      </c>
      <c r="F502" s="99" t="inlineStr">
        <is>
          <t>AV &amp; Technology</t>
        </is>
      </c>
      <c r="G502" s="99" t="inlineStr">
        <is>
          <t>Jun-2025</t>
        </is>
      </c>
      <c r="H502" s="99" t="inlineStr">
        <is>
          <t>Q2 2025</t>
        </is>
      </c>
      <c r="I502" s="101" t="n">
        <v>14776.66</v>
      </c>
      <c r="J502" s="101" t="n">
        <v>14200.33</v>
      </c>
      <c r="K502" s="101" t="n">
        <v>11867.7</v>
      </c>
      <c r="L502" s="165">
        <f>I502-J502</f>
        <v/>
      </c>
      <c r="M502" s="166">
        <f>IF(I502=0,0,ROUND((I502-J502)/I502,4))</f>
        <v/>
      </c>
      <c r="N502" s="104">
        <f>IF(I502=0,0,J502/I502)</f>
        <v/>
      </c>
      <c r="O502" s="105">
        <f>IF(L502&gt;=0,"Under","Over")</f>
        <v/>
      </c>
      <c r="P502" s="69">
        <f>IF(M502&lt;-0.05,"Watch","On Track")</f>
        <v/>
      </c>
    </row>
    <row r="503" ht="16" customHeight="1">
      <c r="A503" s="106" t="inlineStr">
        <is>
          <t>CC-00502</t>
        </is>
      </c>
      <c r="B503" s="71" t="inlineStr">
        <is>
          <t>EVT-2025-046</t>
        </is>
      </c>
      <c r="C503" s="70" t="inlineStr">
        <is>
          <t>Vaccinade Advisory Board Zurich Jun 2025</t>
        </is>
      </c>
      <c r="D503" s="70" t="inlineStr">
        <is>
          <t>Infectious Diseases</t>
        </is>
      </c>
      <c r="E503" s="70" t="inlineStr">
        <is>
          <t>BU Infectious Diseases</t>
        </is>
      </c>
      <c r="F503" s="71" t="inlineStr">
        <is>
          <t>Agency Fees</t>
        </is>
      </c>
      <c r="G503" s="71" t="inlineStr">
        <is>
          <t>Jun-2025</t>
        </is>
      </c>
      <c r="H503" s="71" t="inlineStr">
        <is>
          <t>Q2 2025</t>
        </is>
      </c>
      <c r="I503" s="73" t="n">
        <v>25859.15</v>
      </c>
      <c r="J503" s="73" t="n">
        <v>16384.03</v>
      </c>
      <c r="K503" s="73" t="n">
        <v>11688.45</v>
      </c>
      <c r="L503" s="163">
        <f>I503-J503</f>
        <v/>
      </c>
      <c r="M503" s="161">
        <f>IF(I503=0,0,ROUND((I503-J503)/I503,4))</f>
        <v/>
      </c>
      <c r="N503" s="107">
        <f>IF(I503=0,0,J503/I503)</f>
        <v/>
      </c>
      <c r="O503" s="108">
        <f>IF(L503&gt;=0,"Under","Over")</f>
        <v/>
      </c>
      <c r="P503" s="69">
        <f>IF(M503&lt;-0.05,"Watch","On Track")</f>
        <v/>
      </c>
    </row>
    <row r="504" ht="16" customHeight="1">
      <c r="A504" s="98" t="inlineStr">
        <is>
          <t>CC-00503</t>
        </is>
      </c>
      <c r="B504" s="99" t="inlineStr">
        <is>
          <t>EVT-2025-046</t>
        </is>
      </c>
      <c r="C504" s="100" t="inlineStr">
        <is>
          <t>Vaccinade Advisory Board Zurich Jun 2025</t>
        </is>
      </c>
      <c r="D504" s="100" t="inlineStr">
        <is>
          <t>Infectious Diseases</t>
        </is>
      </c>
      <c r="E504" s="100" t="inlineStr">
        <is>
          <t>BU Infectious Diseases</t>
        </is>
      </c>
      <c r="F504" s="99" t="inlineStr">
        <is>
          <t>Speaker Fees</t>
        </is>
      </c>
      <c r="G504" s="99" t="inlineStr">
        <is>
          <t>Jun-2025</t>
        </is>
      </c>
      <c r="H504" s="99" t="inlineStr">
        <is>
          <t>Q2 2025</t>
        </is>
      </c>
      <c r="I504" s="101" t="n">
        <v>18470.82</v>
      </c>
      <c r="J504" s="101" t="n">
        <v>17646.83</v>
      </c>
      <c r="K504" s="101" t="n">
        <v>12472.35</v>
      </c>
      <c r="L504" s="165">
        <f>I504-J504</f>
        <v/>
      </c>
      <c r="M504" s="166">
        <f>IF(I504=0,0,ROUND((I504-J504)/I504,4))</f>
        <v/>
      </c>
      <c r="N504" s="104">
        <f>IF(I504=0,0,J504/I504)</f>
        <v/>
      </c>
      <c r="O504" s="105">
        <f>IF(L504&gt;=0,"Under","Over")</f>
        <v/>
      </c>
      <c r="P504" s="69">
        <f>IF(M504&lt;-0.05,"Watch","On Track")</f>
        <v/>
      </c>
    </row>
    <row r="505" ht="16" customHeight="1">
      <c r="A505" s="106" t="inlineStr">
        <is>
          <t>CC-00504</t>
        </is>
      </c>
      <c r="B505" s="71" t="inlineStr">
        <is>
          <t>EVT-2025-046</t>
        </is>
      </c>
      <c r="C505" s="70" t="inlineStr">
        <is>
          <t>Vaccinade Advisory Board Zurich Jun 2025</t>
        </is>
      </c>
      <c r="D505" s="70" t="inlineStr">
        <is>
          <t>Infectious Diseases</t>
        </is>
      </c>
      <c r="E505" s="70" t="inlineStr">
        <is>
          <t>BU Infectious Diseases</t>
        </is>
      </c>
      <c r="F505" s="71" t="inlineStr">
        <is>
          <t>Translation</t>
        </is>
      </c>
      <c r="G505" s="71" t="inlineStr">
        <is>
          <t>Jun-2025</t>
        </is>
      </c>
      <c r="H505" s="71" t="inlineStr">
        <is>
          <t>Q2 2025</t>
        </is>
      </c>
      <c r="I505" s="73" t="n">
        <v>5541.25</v>
      </c>
      <c r="J505" s="73" t="n">
        <v>4275.29</v>
      </c>
      <c r="K505" s="73" t="n">
        <v>3132.97</v>
      </c>
      <c r="L505" s="163">
        <f>I505-J505</f>
        <v/>
      </c>
      <c r="M505" s="161">
        <f>IF(I505=0,0,ROUND((I505-J505)/I505,4))</f>
        <v/>
      </c>
      <c r="N505" s="107">
        <f>IF(I505=0,0,J505/I505)</f>
        <v/>
      </c>
      <c r="O505" s="108">
        <f>IF(L505&gt;=0,"Under","Over")</f>
        <v/>
      </c>
      <c r="P505" s="69">
        <f>IF(M505&lt;-0.05,"Watch","On Track")</f>
        <v/>
      </c>
    </row>
    <row r="506" ht="16" customHeight="1">
      <c r="A506" s="98" t="inlineStr">
        <is>
          <t>CC-00505</t>
        </is>
      </c>
      <c r="B506" s="99" t="inlineStr">
        <is>
          <t>EVT-2025-046</t>
        </is>
      </c>
      <c r="C506" s="100" t="inlineStr">
        <is>
          <t>Vaccinade Advisory Board Zurich Jun 2025</t>
        </is>
      </c>
      <c r="D506" s="100" t="inlineStr">
        <is>
          <t>Infectious Diseases</t>
        </is>
      </c>
      <c r="E506" s="100" t="inlineStr">
        <is>
          <t>BU Infectious Diseases</t>
        </is>
      </c>
      <c r="F506" s="99" t="inlineStr">
        <is>
          <t>Print &amp; Production</t>
        </is>
      </c>
      <c r="G506" s="99" t="inlineStr">
        <is>
          <t>Jun-2025</t>
        </is>
      </c>
      <c r="H506" s="99" t="inlineStr">
        <is>
          <t>Q2 2025</t>
        </is>
      </c>
      <c r="I506" s="101" t="n">
        <v>3694.16</v>
      </c>
      <c r="J506" s="101" t="n">
        <v>3694.25</v>
      </c>
      <c r="K506" s="101" t="n">
        <v>3616.58</v>
      </c>
      <c r="L506" s="167">
        <f>I506-J506</f>
        <v/>
      </c>
      <c r="M506" s="166">
        <f>IF(I506=0,0,ROUND((I506-J506)/I506,4))</f>
        <v/>
      </c>
      <c r="N506" s="104">
        <f>IF(I506=0,0,J506/I506)</f>
        <v/>
      </c>
      <c r="O506" s="111">
        <f>IF(L506&gt;=0,"Under","Over")</f>
        <v/>
      </c>
      <c r="P506" s="69">
        <f>IF(M506&lt;-0.05,"Watch","On Track")</f>
        <v/>
      </c>
    </row>
    <row r="507" ht="16" customHeight="1">
      <c r="A507" s="106" t="inlineStr">
        <is>
          <t>CC-00506</t>
        </is>
      </c>
      <c r="B507" s="71" t="inlineStr">
        <is>
          <t>EVT-2025-046</t>
        </is>
      </c>
      <c r="C507" s="70" t="inlineStr">
        <is>
          <t>Vaccinade Advisory Board Zurich Jun 2025</t>
        </is>
      </c>
      <c r="D507" s="70" t="inlineStr">
        <is>
          <t>Infectious Diseases</t>
        </is>
      </c>
      <c r="E507" s="70" t="inlineStr">
        <is>
          <t>BU Infectious Diseases</t>
        </is>
      </c>
      <c r="F507" s="71" t="inlineStr">
        <is>
          <t>Miscellaneous</t>
        </is>
      </c>
      <c r="G507" s="71" t="inlineStr">
        <is>
          <t>Jun-2025</t>
        </is>
      </c>
      <c r="H507" s="71" t="inlineStr">
        <is>
          <t>Q2 2025</t>
        </is>
      </c>
      <c r="I507" s="73" t="n">
        <v>3694.16</v>
      </c>
      <c r="J507" s="73" t="n">
        <v>3584.24</v>
      </c>
      <c r="K507" s="73" t="n">
        <v>3063.8</v>
      </c>
      <c r="L507" s="163">
        <f>I507-J507</f>
        <v/>
      </c>
      <c r="M507" s="161">
        <f>IF(I507=0,0,ROUND((I507-J507)/I507,4))</f>
        <v/>
      </c>
      <c r="N507" s="107">
        <f>IF(I507=0,0,J507/I507)</f>
        <v/>
      </c>
      <c r="O507" s="108">
        <f>IF(L507&gt;=0,"Under","Over")</f>
        <v/>
      </c>
      <c r="P507" s="69">
        <f>IF(M507&lt;-0.05,"Watch","On Track")</f>
        <v/>
      </c>
    </row>
    <row r="508" ht="16" customHeight="1">
      <c r="A508" s="98" t="inlineStr">
        <is>
          <t>CC-00507</t>
        </is>
      </c>
      <c r="B508" s="99" t="inlineStr">
        <is>
          <t>EVT-2025-047</t>
        </is>
      </c>
      <c r="C508" s="100" t="inlineStr">
        <is>
          <t>Nexolimab Internal Meeting Milan Oct 2025</t>
        </is>
      </c>
      <c r="D508" s="100" t="inlineStr">
        <is>
          <t>Oncology</t>
        </is>
      </c>
      <c r="E508" s="100" t="inlineStr">
        <is>
          <t>BU Oncology</t>
        </is>
      </c>
      <c r="F508" s="99" t="inlineStr">
        <is>
          <t>Airfare</t>
        </is>
      </c>
      <c r="G508" s="99" t="inlineStr">
        <is>
          <t>Oct-2025</t>
        </is>
      </c>
      <c r="H508" s="99" t="inlineStr">
        <is>
          <t>Q4 2025</t>
        </is>
      </c>
      <c r="I508" s="101" t="n">
        <v>25150.59</v>
      </c>
      <c r="J508" s="101" t="n">
        <v>22030.79</v>
      </c>
      <c r="K508" s="101" t="n">
        <v>0</v>
      </c>
      <c r="L508" s="165">
        <f>I508-J508</f>
        <v/>
      </c>
      <c r="M508" s="166">
        <f>IF(I508=0,0,ROUND((I508-J508)/I508,4))</f>
        <v/>
      </c>
      <c r="N508" s="104">
        <f>IF(I508=0,0,J508/I508)</f>
        <v/>
      </c>
      <c r="O508" s="105">
        <f>IF(L508&gt;=0,"Under","Over")</f>
        <v/>
      </c>
      <c r="P508" s="69">
        <f>IF(M508&lt;-0.05,"Watch","On Track")</f>
        <v/>
      </c>
    </row>
    <row r="509" ht="16" customHeight="1">
      <c r="A509" s="106" t="inlineStr">
        <is>
          <t>CC-00508</t>
        </is>
      </c>
      <c r="B509" s="71" t="inlineStr">
        <is>
          <t>EVT-2025-047</t>
        </is>
      </c>
      <c r="C509" s="70" t="inlineStr">
        <is>
          <t>Nexolimab Internal Meeting Milan Oct 2025</t>
        </is>
      </c>
      <c r="D509" s="70" t="inlineStr">
        <is>
          <t>Oncology</t>
        </is>
      </c>
      <c r="E509" s="70" t="inlineStr">
        <is>
          <t>BU Oncology</t>
        </is>
      </c>
      <c r="F509" s="71" t="inlineStr">
        <is>
          <t>Hotel</t>
        </is>
      </c>
      <c r="G509" s="71" t="inlineStr">
        <is>
          <t>Oct-2025</t>
        </is>
      </c>
      <c r="H509" s="71" t="inlineStr">
        <is>
          <t>Q4 2025</t>
        </is>
      </c>
      <c r="I509" s="73" t="n">
        <v>45271.05</v>
      </c>
      <c r="J509" s="73" t="n">
        <v>34654.75</v>
      </c>
      <c r="K509" s="73" t="n">
        <v>0</v>
      </c>
      <c r="L509" s="163">
        <f>I509-J509</f>
        <v/>
      </c>
      <c r="M509" s="161">
        <f>IF(I509=0,0,ROUND((I509-J509)/I509,4))</f>
        <v/>
      </c>
      <c r="N509" s="107">
        <f>IF(I509=0,0,J509/I509)</f>
        <v/>
      </c>
      <c r="O509" s="108">
        <f>IF(L509&gt;=0,"Under","Over")</f>
        <v/>
      </c>
      <c r="P509" s="69">
        <f>IF(M509&lt;-0.05,"Watch","On Track")</f>
        <v/>
      </c>
    </row>
    <row r="510" ht="16" customHeight="1">
      <c r="A510" s="98" t="inlineStr">
        <is>
          <t>CC-00509</t>
        </is>
      </c>
      <c r="B510" s="99" t="inlineStr">
        <is>
          <t>EVT-2025-047</t>
        </is>
      </c>
      <c r="C510" s="100" t="inlineStr">
        <is>
          <t>Nexolimab Internal Meeting Milan Oct 2025</t>
        </is>
      </c>
      <c r="D510" s="100" t="inlineStr">
        <is>
          <t>Oncology</t>
        </is>
      </c>
      <c r="E510" s="100" t="inlineStr">
        <is>
          <t>BU Oncology</t>
        </is>
      </c>
      <c r="F510" s="99" t="inlineStr">
        <is>
          <t>Venue</t>
        </is>
      </c>
      <c r="G510" s="99" t="inlineStr">
        <is>
          <t>Oct-2025</t>
        </is>
      </c>
      <c r="H510" s="99" t="inlineStr">
        <is>
          <t>Q4 2025</t>
        </is>
      </c>
      <c r="I510" s="101" t="n">
        <v>37725.88</v>
      </c>
      <c r="J510" s="101" t="n">
        <v>30678.11</v>
      </c>
      <c r="K510" s="101" t="n">
        <v>0</v>
      </c>
      <c r="L510" s="165">
        <f>I510-J510</f>
        <v/>
      </c>
      <c r="M510" s="166">
        <f>IF(I510=0,0,ROUND((I510-J510)/I510,4))</f>
        <v/>
      </c>
      <c r="N510" s="104">
        <f>IF(I510=0,0,J510/I510)</f>
        <v/>
      </c>
      <c r="O510" s="105">
        <f>IF(L510&gt;=0,"Under","Over")</f>
        <v/>
      </c>
      <c r="P510" s="69">
        <f>IF(M510&lt;-0.05,"Watch","On Track")</f>
        <v/>
      </c>
    </row>
    <row r="511" ht="16" customHeight="1">
      <c r="A511" s="106" t="inlineStr">
        <is>
          <t>CC-00510</t>
        </is>
      </c>
      <c r="B511" s="71" t="inlineStr">
        <is>
          <t>EVT-2025-047</t>
        </is>
      </c>
      <c r="C511" s="70" t="inlineStr">
        <is>
          <t>Nexolimab Internal Meeting Milan Oct 2025</t>
        </is>
      </c>
      <c r="D511" s="70" t="inlineStr">
        <is>
          <t>Oncology</t>
        </is>
      </c>
      <c r="E511" s="70" t="inlineStr">
        <is>
          <t>BU Oncology</t>
        </is>
      </c>
      <c r="F511" s="71" t="inlineStr">
        <is>
          <t>F&amp;B</t>
        </is>
      </c>
      <c r="G511" s="71" t="inlineStr">
        <is>
          <t>Oct-2025</t>
        </is>
      </c>
      <c r="H511" s="71" t="inlineStr">
        <is>
          <t>Q4 2025</t>
        </is>
      </c>
      <c r="I511" s="73" t="n">
        <v>30180.7</v>
      </c>
      <c r="J511" s="73" t="n">
        <v>25080.98</v>
      </c>
      <c r="K511" s="73" t="n">
        <v>0</v>
      </c>
      <c r="L511" s="163">
        <f>I511-J511</f>
        <v/>
      </c>
      <c r="M511" s="161">
        <f>IF(I511=0,0,ROUND((I511-J511)/I511,4))</f>
        <v/>
      </c>
      <c r="N511" s="107">
        <f>IF(I511=0,0,J511/I511)</f>
        <v/>
      </c>
      <c r="O511" s="108">
        <f>IF(L511&gt;=0,"Under","Over")</f>
        <v/>
      </c>
      <c r="P511" s="69">
        <f>IF(M511&lt;-0.05,"Watch","On Track")</f>
        <v/>
      </c>
    </row>
    <row r="512" ht="16" customHeight="1">
      <c r="A512" s="98" t="inlineStr">
        <is>
          <t>CC-00511</t>
        </is>
      </c>
      <c r="B512" s="99" t="inlineStr">
        <is>
          <t>EVT-2025-047</t>
        </is>
      </c>
      <c r="C512" s="100" t="inlineStr">
        <is>
          <t>Nexolimab Internal Meeting Milan Oct 2025</t>
        </is>
      </c>
      <c r="D512" s="100" t="inlineStr">
        <is>
          <t>Oncology</t>
        </is>
      </c>
      <c r="E512" s="100" t="inlineStr">
        <is>
          <t>BU Oncology</t>
        </is>
      </c>
      <c r="F512" s="99" t="inlineStr">
        <is>
          <t>Logistics</t>
        </is>
      </c>
      <c r="G512" s="99" t="inlineStr">
        <is>
          <t>Oct-2025</t>
        </is>
      </c>
      <c r="H512" s="99" t="inlineStr">
        <is>
          <t>Q4 2025</t>
        </is>
      </c>
      <c r="I512" s="101" t="n">
        <v>15090.35</v>
      </c>
      <c r="J512" s="101" t="n">
        <v>15073.42</v>
      </c>
      <c r="K512" s="101" t="n">
        <v>0</v>
      </c>
      <c r="L512" s="165">
        <f>I512-J512</f>
        <v/>
      </c>
      <c r="M512" s="166">
        <f>IF(I512=0,0,ROUND((I512-J512)/I512,4))</f>
        <v/>
      </c>
      <c r="N512" s="104">
        <f>IF(I512=0,0,J512/I512)</f>
        <v/>
      </c>
      <c r="O512" s="105">
        <f>IF(L512&gt;=0,"Under","Over")</f>
        <v/>
      </c>
      <c r="P512" s="69">
        <f>IF(M512&lt;-0.05,"Watch","On Track")</f>
        <v/>
      </c>
    </row>
    <row r="513" ht="16" customHeight="1">
      <c r="A513" s="106" t="inlineStr">
        <is>
          <t>CC-00512</t>
        </is>
      </c>
      <c r="B513" s="71" t="inlineStr">
        <is>
          <t>EVT-2025-047</t>
        </is>
      </c>
      <c r="C513" s="70" t="inlineStr">
        <is>
          <t>Nexolimab Internal Meeting Milan Oct 2025</t>
        </is>
      </c>
      <c r="D513" s="70" t="inlineStr">
        <is>
          <t>Oncology</t>
        </is>
      </c>
      <c r="E513" s="70" t="inlineStr">
        <is>
          <t>BU Oncology</t>
        </is>
      </c>
      <c r="F513" s="71" t="inlineStr">
        <is>
          <t>AV &amp; Technology</t>
        </is>
      </c>
      <c r="G513" s="71" t="inlineStr">
        <is>
          <t>Oct-2025</t>
        </is>
      </c>
      <c r="H513" s="71" t="inlineStr">
        <is>
          <t>Q4 2025</t>
        </is>
      </c>
      <c r="I513" s="73" t="n">
        <v>20120.47</v>
      </c>
      <c r="J513" s="73" t="n">
        <v>18407.82</v>
      </c>
      <c r="K513" s="73" t="n">
        <v>0</v>
      </c>
      <c r="L513" s="163">
        <f>I513-J513</f>
        <v/>
      </c>
      <c r="M513" s="161">
        <f>IF(I513=0,0,ROUND((I513-J513)/I513,4))</f>
        <v/>
      </c>
      <c r="N513" s="107">
        <f>IF(I513=0,0,J513/I513)</f>
        <v/>
      </c>
      <c r="O513" s="108">
        <f>IF(L513&gt;=0,"Under","Over")</f>
        <v/>
      </c>
      <c r="P513" s="69">
        <f>IF(M513&lt;-0.05,"Watch","On Track")</f>
        <v/>
      </c>
    </row>
    <row r="514" ht="16" customHeight="1">
      <c r="A514" s="98" t="inlineStr">
        <is>
          <t>CC-00513</t>
        </is>
      </c>
      <c r="B514" s="99" t="inlineStr">
        <is>
          <t>EVT-2025-047</t>
        </is>
      </c>
      <c r="C514" s="100" t="inlineStr">
        <is>
          <t>Nexolimab Internal Meeting Milan Oct 2025</t>
        </is>
      </c>
      <c r="D514" s="100" t="inlineStr">
        <is>
          <t>Oncology</t>
        </is>
      </c>
      <c r="E514" s="100" t="inlineStr">
        <is>
          <t>BU Oncology</t>
        </is>
      </c>
      <c r="F514" s="99" t="inlineStr">
        <is>
          <t>Agency Fees</t>
        </is>
      </c>
      <c r="G514" s="99" t="inlineStr">
        <is>
          <t>Oct-2025</t>
        </is>
      </c>
      <c r="H514" s="99" t="inlineStr">
        <is>
          <t>Q4 2025</t>
        </is>
      </c>
      <c r="I514" s="101" t="n">
        <v>35210.82</v>
      </c>
      <c r="J514" s="101" t="n">
        <v>24407.91</v>
      </c>
      <c r="K514" s="101" t="n">
        <v>0</v>
      </c>
      <c r="L514" s="165">
        <f>I514-J514</f>
        <v/>
      </c>
      <c r="M514" s="166">
        <f>IF(I514=0,0,ROUND((I514-J514)/I514,4))</f>
        <v/>
      </c>
      <c r="N514" s="104">
        <f>IF(I514=0,0,J514/I514)</f>
        <v/>
      </c>
      <c r="O514" s="105">
        <f>IF(L514&gt;=0,"Under","Over")</f>
        <v/>
      </c>
      <c r="P514" s="69">
        <f>IF(M514&lt;-0.05,"Watch","On Track")</f>
        <v/>
      </c>
    </row>
    <row r="515" ht="16" customHeight="1">
      <c r="A515" s="106" t="inlineStr">
        <is>
          <t>CC-00514</t>
        </is>
      </c>
      <c r="B515" s="71" t="inlineStr">
        <is>
          <t>EVT-2025-047</t>
        </is>
      </c>
      <c r="C515" s="70" t="inlineStr">
        <is>
          <t>Nexolimab Internal Meeting Milan Oct 2025</t>
        </is>
      </c>
      <c r="D515" s="70" t="inlineStr">
        <is>
          <t>Oncology</t>
        </is>
      </c>
      <c r="E515" s="70" t="inlineStr">
        <is>
          <t>BU Oncology</t>
        </is>
      </c>
      <c r="F515" s="71" t="inlineStr">
        <is>
          <t>Speaker Fees</t>
        </is>
      </c>
      <c r="G515" s="71" t="inlineStr">
        <is>
          <t>Oct-2025</t>
        </is>
      </c>
      <c r="H515" s="71" t="inlineStr">
        <is>
          <t>Q4 2025</t>
        </is>
      </c>
      <c r="I515" s="73" t="n">
        <v>25150.59</v>
      </c>
      <c r="J515" s="73" t="n">
        <v>23356.19</v>
      </c>
      <c r="K515" s="73" t="n">
        <v>0</v>
      </c>
      <c r="L515" s="163">
        <f>I515-J515</f>
        <v/>
      </c>
      <c r="M515" s="161">
        <f>IF(I515=0,0,ROUND((I515-J515)/I515,4))</f>
        <v/>
      </c>
      <c r="N515" s="107">
        <f>IF(I515=0,0,J515/I515)</f>
        <v/>
      </c>
      <c r="O515" s="108">
        <f>IF(L515&gt;=0,"Under","Over")</f>
        <v/>
      </c>
      <c r="P515" s="69">
        <f>IF(M515&lt;-0.05,"Watch","On Track")</f>
        <v/>
      </c>
    </row>
    <row r="516" ht="16" customHeight="1">
      <c r="A516" s="98" t="inlineStr">
        <is>
          <t>CC-00515</t>
        </is>
      </c>
      <c r="B516" s="99" t="inlineStr">
        <is>
          <t>EVT-2025-047</t>
        </is>
      </c>
      <c r="C516" s="100" t="inlineStr">
        <is>
          <t>Nexolimab Internal Meeting Milan Oct 2025</t>
        </is>
      </c>
      <c r="D516" s="100" t="inlineStr">
        <is>
          <t>Oncology</t>
        </is>
      </c>
      <c r="E516" s="100" t="inlineStr">
        <is>
          <t>BU Oncology</t>
        </is>
      </c>
      <c r="F516" s="99" t="inlineStr">
        <is>
          <t>Translation</t>
        </is>
      </c>
      <c r="G516" s="99" t="inlineStr">
        <is>
          <t>Oct-2025</t>
        </is>
      </c>
      <c r="H516" s="99" t="inlineStr">
        <is>
          <t>Q4 2025</t>
        </is>
      </c>
      <c r="I516" s="101" t="n">
        <v>7545.18</v>
      </c>
      <c r="J516" s="101" t="n">
        <v>6019.48</v>
      </c>
      <c r="K516" s="101" t="n">
        <v>0</v>
      </c>
      <c r="L516" s="165">
        <f>I516-J516</f>
        <v/>
      </c>
      <c r="M516" s="166">
        <f>IF(I516=0,0,ROUND((I516-J516)/I516,4))</f>
        <v/>
      </c>
      <c r="N516" s="104">
        <f>IF(I516=0,0,J516/I516)</f>
        <v/>
      </c>
      <c r="O516" s="105">
        <f>IF(L516&gt;=0,"Under","Over")</f>
        <v/>
      </c>
      <c r="P516" s="69">
        <f>IF(M516&lt;-0.05,"Watch","On Track")</f>
        <v/>
      </c>
    </row>
    <row r="517" ht="16" customHeight="1">
      <c r="A517" s="106" t="inlineStr">
        <is>
          <t>CC-00516</t>
        </is>
      </c>
      <c r="B517" s="71" t="inlineStr">
        <is>
          <t>EVT-2025-047</t>
        </is>
      </c>
      <c r="C517" s="70" t="inlineStr">
        <is>
          <t>Nexolimab Internal Meeting Milan Oct 2025</t>
        </is>
      </c>
      <c r="D517" s="70" t="inlineStr">
        <is>
          <t>Oncology</t>
        </is>
      </c>
      <c r="E517" s="70" t="inlineStr">
        <is>
          <t>BU Oncology</t>
        </is>
      </c>
      <c r="F517" s="71" t="inlineStr">
        <is>
          <t>Print &amp; Production</t>
        </is>
      </c>
      <c r="G517" s="71" t="inlineStr">
        <is>
          <t>Oct-2025</t>
        </is>
      </c>
      <c r="H517" s="71" t="inlineStr">
        <is>
          <t>Q4 2025</t>
        </is>
      </c>
      <c r="I517" s="73" t="n">
        <v>5030.12</v>
      </c>
      <c r="J517" s="73" t="n">
        <v>4872.65</v>
      </c>
      <c r="K517" s="73" t="n">
        <v>0</v>
      </c>
      <c r="L517" s="163">
        <f>I517-J517</f>
        <v/>
      </c>
      <c r="M517" s="161">
        <f>IF(I517=0,0,ROUND((I517-J517)/I517,4))</f>
        <v/>
      </c>
      <c r="N517" s="107">
        <f>IF(I517=0,0,J517/I517)</f>
        <v/>
      </c>
      <c r="O517" s="108">
        <f>IF(L517&gt;=0,"Under","Over")</f>
        <v/>
      </c>
      <c r="P517" s="69">
        <f>IF(M517&lt;-0.05,"Watch","On Track")</f>
        <v/>
      </c>
    </row>
    <row r="518" ht="16" customHeight="1">
      <c r="A518" s="98" t="inlineStr">
        <is>
          <t>CC-00517</t>
        </is>
      </c>
      <c r="B518" s="99" t="inlineStr">
        <is>
          <t>EVT-2025-047</t>
        </is>
      </c>
      <c r="C518" s="100" t="inlineStr">
        <is>
          <t>Nexolimab Internal Meeting Milan Oct 2025</t>
        </is>
      </c>
      <c r="D518" s="100" t="inlineStr">
        <is>
          <t>Oncology</t>
        </is>
      </c>
      <c r="E518" s="100" t="inlineStr">
        <is>
          <t>BU Oncology</t>
        </is>
      </c>
      <c r="F518" s="99" t="inlineStr">
        <is>
          <t>Miscellaneous</t>
        </is>
      </c>
      <c r="G518" s="99" t="inlineStr">
        <is>
          <t>Oct-2025</t>
        </is>
      </c>
      <c r="H518" s="99" t="inlineStr">
        <is>
          <t>Q4 2025</t>
        </is>
      </c>
      <c r="I518" s="101" t="n">
        <v>5030.12</v>
      </c>
      <c r="J518" s="101" t="n">
        <v>5239.11</v>
      </c>
      <c r="K518" s="101" t="n">
        <v>0</v>
      </c>
      <c r="L518" s="167">
        <f>I518-J518</f>
        <v/>
      </c>
      <c r="M518" s="166">
        <f>IF(I518=0,0,ROUND((I518-J518)/I518,4))</f>
        <v/>
      </c>
      <c r="N518" s="104">
        <f>IF(I518=0,0,J518/I518)</f>
        <v/>
      </c>
      <c r="O518" s="111">
        <f>IF(L518&gt;=0,"Under","Over")</f>
        <v/>
      </c>
      <c r="P518" s="69">
        <f>IF(M518&lt;-0.05,"Watch","On Track")</f>
        <v/>
      </c>
    </row>
    <row r="519" ht="16" customHeight="1">
      <c r="A519" s="106" t="inlineStr">
        <is>
          <t>CC-00518</t>
        </is>
      </c>
      <c r="B519" s="71" t="inlineStr">
        <is>
          <t>EVT-2025-048</t>
        </is>
      </c>
      <c r="C519" s="70" t="inlineStr">
        <is>
          <t>Vaccinade Satellite Symposium Budapest Mar 2025</t>
        </is>
      </c>
      <c r="D519" s="70" t="inlineStr">
        <is>
          <t>Infectious Diseases</t>
        </is>
      </c>
      <c r="E519" s="70" t="inlineStr">
        <is>
          <t>BU Infectious Diseases</t>
        </is>
      </c>
      <c r="F519" s="71" t="inlineStr">
        <is>
          <t>Airfare</t>
        </is>
      </c>
      <c r="G519" s="71" t="inlineStr">
        <is>
          <t>Mar-2025</t>
        </is>
      </c>
      <c r="H519" s="71" t="inlineStr">
        <is>
          <t>Q1 2025</t>
        </is>
      </c>
      <c r="I519" s="73" t="n">
        <v>14106.66</v>
      </c>
      <c r="J519" s="73" t="n">
        <v>11635</v>
      </c>
      <c r="K519" s="73" t="n">
        <v>0</v>
      </c>
      <c r="L519" s="163">
        <f>I519-J519</f>
        <v/>
      </c>
      <c r="M519" s="161">
        <f>IF(I519=0,0,ROUND((I519-J519)/I519,4))</f>
        <v/>
      </c>
      <c r="N519" s="107">
        <f>IF(I519=0,0,J519/I519)</f>
        <v/>
      </c>
      <c r="O519" s="108">
        <f>IF(L519&gt;=0,"Under","Over")</f>
        <v/>
      </c>
      <c r="P519" s="69">
        <f>IF(M519&lt;-0.05,"Watch","On Track")</f>
        <v/>
      </c>
    </row>
    <row r="520" ht="16" customHeight="1">
      <c r="A520" s="98" t="inlineStr">
        <is>
          <t>CC-00519</t>
        </is>
      </c>
      <c r="B520" s="99" t="inlineStr">
        <is>
          <t>EVT-2025-048</t>
        </is>
      </c>
      <c r="C520" s="100" t="inlineStr">
        <is>
          <t>Vaccinade Satellite Symposium Budapest Mar 2025</t>
        </is>
      </c>
      <c r="D520" s="100" t="inlineStr">
        <is>
          <t>Infectious Diseases</t>
        </is>
      </c>
      <c r="E520" s="100" t="inlineStr">
        <is>
          <t>BU Infectious Diseases</t>
        </is>
      </c>
      <c r="F520" s="99" t="inlineStr">
        <is>
          <t>Hotel</t>
        </is>
      </c>
      <c r="G520" s="99" t="inlineStr">
        <is>
          <t>Mar-2025</t>
        </is>
      </c>
      <c r="H520" s="99" t="inlineStr">
        <is>
          <t>Q1 2025</t>
        </is>
      </c>
      <c r="I520" s="101" t="n">
        <v>25391.99</v>
      </c>
      <c r="J520" s="101" t="n">
        <v>20688.79</v>
      </c>
      <c r="K520" s="101" t="n">
        <v>0</v>
      </c>
      <c r="L520" s="165">
        <f>I520-J520</f>
        <v/>
      </c>
      <c r="M520" s="166">
        <f>IF(I520=0,0,ROUND((I520-J520)/I520,4))</f>
        <v/>
      </c>
      <c r="N520" s="104">
        <f>IF(I520=0,0,J520/I520)</f>
        <v/>
      </c>
      <c r="O520" s="105">
        <f>IF(L520&gt;=0,"Under","Over")</f>
        <v/>
      </c>
      <c r="P520" s="69">
        <f>IF(M520&lt;-0.05,"Watch","On Track")</f>
        <v/>
      </c>
    </row>
    <row r="521" ht="16" customHeight="1">
      <c r="A521" s="106" t="inlineStr">
        <is>
          <t>CC-00520</t>
        </is>
      </c>
      <c r="B521" s="71" t="inlineStr">
        <is>
          <t>EVT-2025-048</t>
        </is>
      </c>
      <c r="C521" s="70" t="inlineStr">
        <is>
          <t>Vaccinade Satellite Symposium Budapest Mar 2025</t>
        </is>
      </c>
      <c r="D521" s="70" t="inlineStr">
        <is>
          <t>Infectious Diseases</t>
        </is>
      </c>
      <c r="E521" s="70" t="inlineStr">
        <is>
          <t>BU Infectious Diseases</t>
        </is>
      </c>
      <c r="F521" s="71" t="inlineStr">
        <is>
          <t>Venue</t>
        </is>
      </c>
      <c r="G521" s="71" t="inlineStr">
        <is>
          <t>Mar-2025</t>
        </is>
      </c>
      <c r="H521" s="71" t="inlineStr">
        <is>
          <t>Q1 2025</t>
        </is>
      </c>
      <c r="I521" s="73" t="n">
        <v>21159.99</v>
      </c>
      <c r="J521" s="73" t="n">
        <v>12743.08</v>
      </c>
      <c r="K521" s="73" t="n">
        <v>0</v>
      </c>
      <c r="L521" s="163">
        <f>I521-J521</f>
        <v/>
      </c>
      <c r="M521" s="161">
        <f>IF(I521=0,0,ROUND((I521-J521)/I521,4))</f>
        <v/>
      </c>
      <c r="N521" s="107">
        <f>IF(I521=0,0,J521/I521)</f>
        <v/>
      </c>
      <c r="O521" s="108">
        <f>IF(L521&gt;=0,"Under","Over")</f>
        <v/>
      </c>
      <c r="P521" s="69">
        <f>IF(M521&lt;-0.05,"Watch","On Track")</f>
        <v/>
      </c>
    </row>
    <row r="522" ht="16" customHeight="1">
      <c r="A522" s="98" t="inlineStr">
        <is>
          <t>CC-00521</t>
        </is>
      </c>
      <c r="B522" s="99" t="inlineStr">
        <is>
          <t>EVT-2025-048</t>
        </is>
      </c>
      <c r="C522" s="100" t="inlineStr">
        <is>
          <t>Vaccinade Satellite Symposium Budapest Mar 2025</t>
        </is>
      </c>
      <c r="D522" s="100" t="inlineStr">
        <is>
          <t>Infectious Diseases</t>
        </is>
      </c>
      <c r="E522" s="100" t="inlineStr">
        <is>
          <t>BU Infectious Diseases</t>
        </is>
      </c>
      <c r="F522" s="99" t="inlineStr">
        <is>
          <t>F&amp;B</t>
        </is>
      </c>
      <c r="G522" s="99" t="inlineStr">
        <is>
          <t>Mar-2025</t>
        </is>
      </c>
      <c r="H522" s="99" t="inlineStr">
        <is>
          <t>Q1 2025</t>
        </is>
      </c>
      <c r="I522" s="101" t="n">
        <v>16927.99</v>
      </c>
      <c r="J522" s="101" t="n">
        <v>11974.83</v>
      </c>
      <c r="K522" s="101" t="n">
        <v>0</v>
      </c>
      <c r="L522" s="165">
        <f>I522-J522</f>
        <v/>
      </c>
      <c r="M522" s="166">
        <f>IF(I522=0,0,ROUND((I522-J522)/I522,4))</f>
        <v/>
      </c>
      <c r="N522" s="104">
        <f>IF(I522=0,0,J522/I522)</f>
        <v/>
      </c>
      <c r="O522" s="105">
        <f>IF(L522&gt;=0,"Under","Over")</f>
        <v/>
      </c>
      <c r="P522" s="69">
        <f>IF(M522&lt;-0.05,"Watch","On Track")</f>
        <v/>
      </c>
    </row>
    <row r="523" ht="16" customHeight="1">
      <c r="A523" s="106" t="inlineStr">
        <is>
          <t>CC-00522</t>
        </is>
      </c>
      <c r="B523" s="71" t="inlineStr">
        <is>
          <t>EVT-2025-048</t>
        </is>
      </c>
      <c r="C523" s="70" t="inlineStr">
        <is>
          <t>Vaccinade Satellite Symposium Budapest Mar 2025</t>
        </is>
      </c>
      <c r="D523" s="70" t="inlineStr">
        <is>
          <t>Infectious Diseases</t>
        </is>
      </c>
      <c r="E523" s="70" t="inlineStr">
        <is>
          <t>BU Infectious Diseases</t>
        </is>
      </c>
      <c r="F523" s="71" t="inlineStr">
        <is>
          <t>Logistics</t>
        </is>
      </c>
      <c r="G523" s="71" t="inlineStr">
        <is>
          <t>Mar-2025</t>
        </is>
      </c>
      <c r="H523" s="71" t="inlineStr">
        <is>
          <t>Q1 2025</t>
        </is>
      </c>
      <c r="I523" s="73" t="n">
        <v>8464</v>
      </c>
      <c r="J523" s="73" t="n">
        <v>6256.36</v>
      </c>
      <c r="K523" s="73" t="n">
        <v>0</v>
      </c>
      <c r="L523" s="163">
        <f>I523-J523</f>
        <v/>
      </c>
      <c r="M523" s="161">
        <f>IF(I523=0,0,ROUND((I523-J523)/I523,4))</f>
        <v/>
      </c>
      <c r="N523" s="107">
        <f>IF(I523=0,0,J523/I523)</f>
        <v/>
      </c>
      <c r="O523" s="108">
        <f>IF(L523&gt;=0,"Under","Over")</f>
        <v/>
      </c>
      <c r="P523" s="69">
        <f>IF(M523&lt;-0.05,"Watch","On Track")</f>
        <v/>
      </c>
    </row>
    <row r="524" ht="16" customHeight="1">
      <c r="A524" s="98" t="inlineStr">
        <is>
          <t>CC-00523</t>
        </is>
      </c>
      <c r="B524" s="99" t="inlineStr">
        <is>
          <t>EVT-2025-048</t>
        </is>
      </c>
      <c r="C524" s="100" t="inlineStr">
        <is>
          <t>Vaccinade Satellite Symposium Budapest Mar 2025</t>
        </is>
      </c>
      <c r="D524" s="100" t="inlineStr">
        <is>
          <t>Infectious Diseases</t>
        </is>
      </c>
      <c r="E524" s="100" t="inlineStr">
        <is>
          <t>BU Infectious Diseases</t>
        </is>
      </c>
      <c r="F524" s="99" t="inlineStr">
        <is>
          <t>AV &amp; Technology</t>
        </is>
      </c>
      <c r="G524" s="99" t="inlineStr">
        <is>
          <t>Mar-2025</t>
        </is>
      </c>
      <c r="H524" s="99" t="inlineStr">
        <is>
          <t>Q1 2025</t>
        </is>
      </c>
      <c r="I524" s="101" t="n">
        <v>11285.33</v>
      </c>
      <c r="J524" s="101" t="n">
        <v>10742.28</v>
      </c>
      <c r="K524" s="101" t="n">
        <v>0</v>
      </c>
      <c r="L524" s="165">
        <f>I524-J524</f>
        <v/>
      </c>
      <c r="M524" s="166">
        <f>IF(I524=0,0,ROUND((I524-J524)/I524,4))</f>
        <v/>
      </c>
      <c r="N524" s="104">
        <f>IF(I524=0,0,J524/I524)</f>
        <v/>
      </c>
      <c r="O524" s="105">
        <f>IF(L524&gt;=0,"Under","Over")</f>
        <v/>
      </c>
      <c r="P524" s="69">
        <f>IF(M524&lt;-0.05,"Watch","On Track")</f>
        <v/>
      </c>
    </row>
    <row r="525" ht="16" customHeight="1">
      <c r="A525" s="106" t="inlineStr">
        <is>
          <t>CC-00524</t>
        </is>
      </c>
      <c r="B525" s="71" t="inlineStr">
        <is>
          <t>EVT-2025-048</t>
        </is>
      </c>
      <c r="C525" s="70" t="inlineStr">
        <is>
          <t>Vaccinade Satellite Symposium Budapest Mar 2025</t>
        </is>
      </c>
      <c r="D525" s="70" t="inlineStr">
        <is>
          <t>Infectious Diseases</t>
        </is>
      </c>
      <c r="E525" s="70" t="inlineStr">
        <is>
          <t>BU Infectious Diseases</t>
        </is>
      </c>
      <c r="F525" s="71" t="inlineStr">
        <is>
          <t>Agency Fees</t>
        </is>
      </c>
      <c r="G525" s="71" t="inlineStr">
        <is>
          <t>Mar-2025</t>
        </is>
      </c>
      <c r="H525" s="71" t="inlineStr">
        <is>
          <t>Q1 2025</t>
        </is>
      </c>
      <c r="I525" s="73" t="n">
        <v>19749.33</v>
      </c>
      <c r="J525" s="73" t="n">
        <v>19709.91</v>
      </c>
      <c r="K525" s="73" t="n">
        <v>0</v>
      </c>
      <c r="L525" s="163">
        <f>I525-J525</f>
        <v/>
      </c>
      <c r="M525" s="161">
        <f>IF(I525=0,0,ROUND((I525-J525)/I525,4))</f>
        <v/>
      </c>
      <c r="N525" s="107">
        <f>IF(I525=0,0,J525/I525)</f>
        <v/>
      </c>
      <c r="O525" s="108">
        <f>IF(L525&gt;=0,"Under","Over")</f>
        <v/>
      </c>
      <c r="P525" s="69">
        <f>IF(M525&lt;-0.05,"Watch","On Track")</f>
        <v/>
      </c>
    </row>
    <row r="526" ht="16" customHeight="1">
      <c r="A526" s="98" t="inlineStr">
        <is>
          <t>CC-00525</t>
        </is>
      </c>
      <c r="B526" s="99" t="inlineStr">
        <is>
          <t>EVT-2025-048</t>
        </is>
      </c>
      <c r="C526" s="100" t="inlineStr">
        <is>
          <t>Vaccinade Satellite Symposium Budapest Mar 2025</t>
        </is>
      </c>
      <c r="D526" s="100" t="inlineStr">
        <is>
          <t>Infectious Diseases</t>
        </is>
      </c>
      <c r="E526" s="100" t="inlineStr">
        <is>
          <t>BU Infectious Diseases</t>
        </is>
      </c>
      <c r="F526" s="99" t="inlineStr">
        <is>
          <t>Speaker Fees</t>
        </is>
      </c>
      <c r="G526" s="99" t="inlineStr">
        <is>
          <t>Mar-2025</t>
        </is>
      </c>
      <c r="H526" s="99" t="inlineStr">
        <is>
          <t>Q1 2025</t>
        </is>
      </c>
      <c r="I526" s="101" t="n">
        <v>14106.66</v>
      </c>
      <c r="J526" s="101" t="n">
        <v>12536.22</v>
      </c>
      <c r="K526" s="101" t="n">
        <v>0</v>
      </c>
      <c r="L526" s="165">
        <f>I526-J526</f>
        <v/>
      </c>
      <c r="M526" s="166">
        <f>IF(I526=0,0,ROUND((I526-J526)/I526,4))</f>
        <v/>
      </c>
      <c r="N526" s="104">
        <f>IF(I526=0,0,J526/I526)</f>
        <v/>
      </c>
      <c r="O526" s="105">
        <f>IF(L526&gt;=0,"Under","Over")</f>
        <v/>
      </c>
      <c r="P526" s="69">
        <f>IF(M526&lt;-0.05,"Watch","On Track")</f>
        <v/>
      </c>
    </row>
    <row r="527" ht="16" customHeight="1">
      <c r="A527" s="106" t="inlineStr">
        <is>
          <t>CC-00526</t>
        </is>
      </c>
      <c r="B527" s="71" t="inlineStr">
        <is>
          <t>EVT-2025-048</t>
        </is>
      </c>
      <c r="C527" s="70" t="inlineStr">
        <is>
          <t>Vaccinade Satellite Symposium Budapest Mar 2025</t>
        </is>
      </c>
      <c r="D527" s="70" t="inlineStr">
        <is>
          <t>Infectious Diseases</t>
        </is>
      </c>
      <c r="E527" s="70" t="inlineStr">
        <is>
          <t>BU Infectious Diseases</t>
        </is>
      </c>
      <c r="F527" s="71" t="inlineStr">
        <is>
          <t>Translation</t>
        </is>
      </c>
      <c r="G527" s="71" t="inlineStr">
        <is>
          <t>Mar-2025</t>
        </is>
      </c>
      <c r="H527" s="71" t="inlineStr">
        <is>
          <t>Q1 2025</t>
        </is>
      </c>
      <c r="I527" s="73" t="n">
        <v>4232</v>
      </c>
      <c r="J527" s="73" t="n">
        <v>4230.95</v>
      </c>
      <c r="K527" s="73" t="n">
        <v>0</v>
      </c>
      <c r="L527" s="163">
        <f>I527-J527</f>
        <v/>
      </c>
      <c r="M527" s="161">
        <f>IF(I527=0,0,ROUND((I527-J527)/I527,4))</f>
        <v/>
      </c>
      <c r="N527" s="107">
        <f>IF(I527=0,0,J527/I527)</f>
        <v/>
      </c>
      <c r="O527" s="108">
        <f>IF(L527&gt;=0,"Under","Over")</f>
        <v/>
      </c>
      <c r="P527" s="69">
        <f>IF(M527&lt;-0.05,"Watch","On Track")</f>
        <v/>
      </c>
    </row>
    <row r="528" ht="16" customHeight="1">
      <c r="A528" s="98" t="inlineStr">
        <is>
          <t>CC-00527</t>
        </is>
      </c>
      <c r="B528" s="99" t="inlineStr">
        <is>
          <t>EVT-2025-048</t>
        </is>
      </c>
      <c r="C528" s="100" t="inlineStr">
        <is>
          <t>Vaccinade Satellite Symposium Budapest Mar 2025</t>
        </is>
      </c>
      <c r="D528" s="100" t="inlineStr">
        <is>
          <t>Infectious Diseases</t>
        </is>
      </c>
      <c r="E528" s="100" t="inlineStr">
        <is>
          <t>BU Infectious Diseases</t>
        </is>
      </c>
      <c r="F528" s="99" t="inlineStr">
        <is>
          <t>Print &amp; Production</t>
        </is>
      </c>
      <c r="G528" s="99" t="inlineStr">
        <is>
          <t>Mar-2025</t>
        </is>
      </c>
      <c r="H528" s="99" t="inlineStr">
        <is>
          <t>Q1 2025</t>
        </is>
      </c>
      <c r="I528" s="101" t="n">
        <v>2821.33</v>
      </c>
      <c r="J528" s="101" t="n">
        <v>2450.17</v>
      </c>
      <c r="K528" s="101" t="n">
        <v>0</v>
      </c>
      <c r="L528" s="165">
        <f>I528-J528</f>
        <v/>
      </c>
      <c r="M528" s="166">
        <f>IF(I528=0,0,ROUND((I528-J528)/I528,4))</f>
        <v/>
      </c>
      <c r="N528" s="104">
        <f>IF(I528=0,0,J528/I528)</f>
        <v/>
      </c>
      <c r="O528" s="105">
        <f>IF(L528&gt;=0,"Under","Over")</f>
        <v/>
      </c>
      <c r="P528" s="69">
        <f>IF(M528&lt;-0.05,"Watch","On Track")</f>
        <v/>
      </c>
    </row>
    <row r="529" ht="16" customHeight="1">
      <c r="A529" s="106" t="inlineStr">
        <is>
          <t>CC-00528</t>
        </is>
      </c>
      <c r="B529" s="71" t="inlineStr">
        <is>
          <t>EVT-2025-048</t>
        </is>
      </c>
      <c r="C529" s="70" t="inlineStr">
        <is>
          <t>Vaccinade Satellite Symposium Budapest Mar 2025</t>
        </is>
      </c>
      <c r="D529" s="70" t="inlineStr">
        <is>
          <t>Infectious Diseases</t>
        </is>
      </c>
      <c r="E529" s="70" t="inlineStr">
        <is>
          <t>BU Infectious Diseases</t>
        </is>
      </c>
      <c r="F529" s="71" t="inlineStr">
        <is>
          <t>Miscellaneous</t>
        </is>
      </c>
      <c r="G529" s="71" t="inlineStr">
        <is>
          <t>Mar-2025</t>
        </is>
      </c>
      <c r="H529" s="71" t="inlineStr">
        <is>
          <t>Q1 2025</t>
        </is>
      </c>
      <c r="I529" s="73" t="n">
        <v>2821.33</v>
      </c>
      <c r="J529" s="73" t="n">
        <v>2208.81</v>
      </c>
      <c r="K529" s="73" t="n">
        <v>0</v>
      </c>
      <c r="L529" s="163">
        <f>I529-J529</f>
        <v/>
      </c>
      <c r="M529" s="161">
        <f>IF(I529=0,0,ROUND((I529-J529)/I529,4))</f>
        <v/>
      </c>
      <c r="N529" s="107">
        <f>IF(I529=0,0,J529/I529)</f>
        <v/>
      </c>
      <c r="O529" s="108">
        <f>IF(L529&gt;=0,"Under","Over")</f>
        <v/>
      </c>
      <c r="P529" s="69">
        <f>IF(M529&lt;-0.05,"Watch","On Track")</f>
        <v/>
      </c>
    </row>
    <row r="530" ht="16" customHeight="1">
      <c r="A530" s="98" t="inlineStr">
        <is>
          <t>CC-00529</t>
        </is>
      </c>
      <c r="B530" s="99" t="inlineStr">
        <is>
          <t>EVT-2025-049</t>
        </is>
      </c>
      <c r="C530" s="100" t="inlineStr">
        <is>
          <t>Hemaflex Webinar Istanbul Dec 2025</t>
        </is>
      </c>
      <c r="D530" s="100" t="inlineStr">
        <is>
          <t>Hematology</t>
        </is>
      </c>
      <c r="E530" s="100" t="inlineStr">
        <is>
          <t>BU Oncology</t>
        </is>
      </c>
      <c r="F530" s="99" t="inlineStr">
        <is>
          <t>Airfare</t>
        </is>
      </c>
      <c r="G530" s="99" t="inlineStr">
        <is>
          <t>Dec-2025</t>
        </is>
      </c>
      <c r="H530" s="99" t="inlineStr">
        <is>
          <t>Q4 2025</t>
        </is>
      </c>
      <c r="I530" s="101" t="n">
        <v>49536.43</v>
      </c>
      <c r="J530" s="101" t="n">
        <v>34603.04</v>
      </c>
      <c r="K530" s="101" t="n">
        <v>25405.08</v>
      </c>
      <c r="L530" s="165">
        <f>I530-J530</f>
        <v/>
      </c>
      <c r="M530" s="166">
        <f>IF(I530=0,0,ROUND((I530-J530)/I530,4))</f>
        <v/>
      </c>
      <c r="N530" s="104">
        <f>IF(I530=0,0,J530/I530)</f>
        <v/>
      </c>
      <c r="O530" s="105">
        <f>IF(L530&gt;=0,"Under","Over")</f>
        <v/>
      </c>
      <c r="P530" s="69">
        <f>IF(M530&lt;-0.05,"Watch","On Track")</f>
        <v/>
      </c>
    </row>
    <row r="531" ht="16" customHeight="1">
      <c r="A531" s="106" t="inlineStr">
        <is>
          <t>CC-00530</t>
        </is>
      </c>
      <c r="B531" s="71" t="inlineStr">
        <is>
          <t>EVT-2025-049</t>
        </is>
      </c>
      <c r="C531" s="70" t="inlineStr">
        <is>
          <t>Hemaflex Webinar Istanbul Dec 2025</t>
        </is>
      </c>
      <c r="D531" s="70" t="inlineStr">
        <is>
          <t>Hematology</t>
        </is>
      </c>
      <c r="E531" s="70" t="inlineStr">
        <is>
          <t>BU Oncology</t>
        </is>
      </c>
      <c r="F531" s="71" t="inlineStr">
        <is>
          <t>Hotel</t>
        </is>
      </c>
      <c r="G531" s="71" t="inlineStr">
        <is>
          <t>Dec-2025</t>
        </is>
      </c>
      <c r="H531" s="71" t="inlineStr">
        <is>
          <t>Q4 2025</t>
        </is>
      </c>
      <c r="I531" s="73" t="n">
        <v>89165.58</v>
      </c>
      <c r="J531" s="73" t="n">
        <v>83401.09</v>
      </c>
      <c r="K531" s="73" t="n">
        <v>70627.81</v>
      </c>
      <c r="L531" s="163">
        <f>I531-J531</f>
        <v/>
      </c>
      <c r="M531" s="161">
        <f>IF(I531=0,0,ROUND((I531-J531)/I531,4))</f>
        <v/>
      </c>
      <c r="N531" s="107">
        <f>IF(I531=0,0,J531/I531)</f>
        <v/>
      </c>
      <c r="O531" s="108">
        <f>IF(L531&gt;=0,"Under","Over")</f>
        <v/>
      </c>
      <c r="P531" s="69">
        <f>IF(M531&lt;-0.05,"Watch","On Track")</f>
        <v/>
      </c>
    </row>
    <row r="532" ht="16" customHeight="1">
      <c r="A532" s="98" t="inlineStr">
        <is>
          <t>CC-00531</t>
        </is>
      </c>
      <c r="B532" s="99" t="inlineStr">
        <is>
          <t>EVT-2025-049</t>
        </is>
      </c>
      <c r="C532" s="100" t="inlineStr">
        <is>
          <t>Hemaflex Webinar Istanbul Dec 2025</t>
        </is>
      </c>
      <c r="D532" s="100" t="inlineStr">
        <is>
          <t>Hematology</t>
        </is>
      </c>
      <c r="E532" s="100" t="inlineStr">
        <is>
          <t>BU Oncology</t>
        </is>
      </c>
      <c r="F532" s="99" t="inlineStr">
        <is>
          <t>Venue</t>
        </is>
      </c>
      <c r="G532" s="99" t="inlineStr">
        <is>
          <t>Dec-2025</t>
        </is>
      </c>
      <c r="H532" s="99" t="inlineStr">
        <is>
          <t>Q4 2025</t>
        </is>
      </c>
      <c r="I532" s="101" t="n">
        <v>74304.64999999999</v>
      </c>
      <c r="J532" s="101" t="n">
        <v>80468.83</v>
      </c>
      <c r="K532" s="101" t="n">
        <v>63893.96</v>
      </c>
      <c r="L532" s="167">
        <f>I532-J532</f>
        <v/>
      </c>
      <c r="M532" s="168">
        <f>IF(I532=0,0,ROUND((I532-J532)/I532,4))</f>
        <v/>
      </c>
      <c r="N532" s="104">
        <f>IF(I532=0,0,J532/I532)</f>
        <v/>
      </c>
      <c r="O532" s="111">
        <f>IF(L532&gt;=0,"Under","Over")</f>
        <v/>
      </c>
      <c r="P532" s="76">
        <f>IF(M532&lt;-0.05,"Watch","On Track")</f>
        <v/>
      </c>
    </row>
    <row r="533" ht="16" customHeight="1">
      <c r="A533" s="106" t="inlineStr">
        <is>
          <t>CC-00532</t>
        </is>
      </c>
      <c r="B533" s="71" t="inlineStr">
        <is>
          <t>EVT-2025-049</t>
        </is>
      </c>
      <c r="C533" s="70" t="inlineStr">
        <is>
          <t>Hemaflex Webinar Istanbul Dec 2025</t>
        </is>
      </c>
      <c r="D533" s="70" t="inlineStr">
        <is>
          <t>Hematology</t>
        </is>
      </c>
      <c r="E533" s="70" t="inlineStr">
        <is>
          <t>BU Oncology</t>
        </is>
      </c>
      <c r="F533" s="71" t="inlineStr">
        <is>
          <t>F&amp;B</t>
        </is>
      </c>
      <c r="G533" s="71" t="inlineStr">
        <is>
          <t>Dec-2025</t>
        </is>
      </c>
      <c r="H533" s="71" t="inlineStr">
        <is>
          <t>Q4 2025</t>
        </is>
      </c>
      <c r="I533" s="73" t="n">
        <v>59443.72</v>
      </c>
      <c r="J533" s="73" t="n">
        <v>47217.31</v>
      </c>
      <c r="K533" s="73" t="n">
        <v>38612.58</v>
      </c>
      <c r="L533" s="163">
        <f>I533-J533</f>
        <v/>
      </c>
      <c r="M533" s="161">
        <f>IF(I533=0,0,ROUND((I533-J533)/I533,4))</f>
        <v/>
      </c>
      <c r="N533" s="107">
        <f>IF(I533=0,0,J533/I533)</f>
        <v/>
      </c>
      <c r="O533" s="108">
        <f>IF(L533&gt;=0,"Under","Over")</f>
        <v/>
      </c>
      <c r="P533" s="69">
        <f>IF(M533&lt;-0.05,"Watch","On Track")</f>
        <v/>
      </c>
    </row>
    <row r="534" ht="16" customHeight="1">
      <c r="A534" s="98" t="inlineStr">
        <is>
          <t>CC-00533</t>
        </is>
      </c>
      <c r="B534" s="99" t="inlineStr">
        <is>
          <t>EVT-2025-049</t>
        </is>
      </c>
      <c r="C534" s="100" t="inlineStr">
        <is>
          <t>Hemaflex Webinar Istanbul Dec 2025</t>
        </is>
      </c>
      <c r="D534" s="100" t="inlineStr">
        <is>
          <t>Hematology</t>
        </is>
      </c>
      <c r="E534" s="100" t="inlineStr">
        <is>
          <t>BU Oncology</t>
        </is>
      </c>
      <c r="F534" s="99" t="inlineStr">
        <is>
          <t>Logistics</t>
        </is>
      </c>
      <c r="G534" s="99" t="inlineStr">
        <is>
          <t>Dec-2025</t>
        </is>
      </c>
      <c r="H534" s="99" t="inlineStr">
        <is>
          <t>Q4 2025</t>
        </is>
      </c>
      <c r="I534" s="101" t="n">
        <v>29721.86</v>
      </c>
      <c r="J534" s="101" t="n">
        <v>19530.71</v>
      </c>
      <c r="K534" s="101" t="n">
        <v>15733.85</v>
      </c>
      <c r="L534" s="165">
        <f>I534-J534</f>
        <v/>
      </c>
      <c r="M534" s="166">
        <f>IF(I534=0,0,ROUND((I534-J534)/I534,4))</f>
        <v/>
      </c>
      <c r="N534" s="104">
        <f>IF(I534=0,0,J534/I534)</f>
        <v/>
      </c>
      <c r="O534" s="105">
        <f>IF(L534&gt;=0,"Under","Over")</f>
        <v/>
      </c>
      <c r="P534" s="69">
        <f>IF(M534&lt;-0.05,"Watch","On Track")</f>
        <v/>
      </c>
    </row>
    <row r="535" ht="16" customHeight="1">
      <c r="A535" s="106" t="inlineStr">
        <is>
          <t>CC-00534</t>
        </is>
      </c>
      <c r="B535" s="71" t="inlineStr">
        <is>
          <t>EVT-2025-049</t>
        </is>
      </c>
      <c r="C535" s="70" t="inlineStr">
        <is>
          <t>Hemaflex Webinar Istanbul Dec 2025</t>
        </is>
      </c>
      <c r="D535" s="70" t="inlineStr">
        <is>
          <t>Hematology</t>
        </is>
      </c>
      <c r="E535" s="70" t="inlineStr">
        <is>
          <t>BU Oncology</t>
        </is>
      </c>
      <c r="F535" s="71" t="inlineStr">
        <is>
          <t>AV &amp; Technology</t>
        </is>
      </c>
      <c r="G535" s="71" t="inlineStr">
        <is>
          <t>Dec-2025</t>
        </is>
      </c>
      <c r="H535" s="71" t="inlineStr">
        <is>
          <t>Q4 2025</t>
        </is>
      </c>
      <c r="I535" s="73" t="n">
        <v>39629.15</v>
      </c>
      <c r="J535" s="73" t="n">
        <v>32849.8</v>
      </c>
      <c r="K535" s="73" t="n">
        <v>24695.11</v>
      </c>
      <c r="L535" s="163">
        <f>I535-J535</f>
        <v/>
      </c>
      <c r="M535" s="161">
        <f>IF(I535=0,0,ROUND((I535-J535)/I535,4))</f>
        <v/>
      </c>
      <c r="N535" s="107">
        <f>IF(I535=0,0,J535/I535)</f>
        <v/>
      </c>
      <c r="O535" s="108">
        <f>IF(L535&gt;=0,"Under","Over")</f>
        <v/>
      </c>
      <c r="P535" s="69">
        <f>IF(M535&lt;-0.05,"Watch","On Track")</f>
        <v/>
      </c>
    </row>
    <row r="536" ht="16" customHeight="1">
      <c r="A536" s="98" t="inlineStr">
        <is>
          <t>CC-00535</t>
        </is>
      </c>
      <c r="B536" s="99" t="inlineStr">
        <is>
          <t>EVT-2025-049</t>
        </is>
      </c>
      <c r="C536" s="100" t="inlineStr">
        <is>
          <t>Hemaflex Webinar Istanbul Dec 2025</t>
        </is>
      </c>
      <c r="D536" s="100" t="inlineStr">
        <is>
          <t>Hematology</t>
        </is>
      </c>
      <c r="E536" s="100" t="inlineStr">
        <is>
          <t>BU Oncology</t>
        </is>
      </c>
      <c r="F536" s="99" t="inlineStr">
        <is>
          <t>Agency Fees</t>
        </is>
      </c>
      <c r="G536" s="99" t="inlineStr">
        <is>
          <t>Dec-2025</t>
        </is>
      </c>
      <c r="H536" s="99" t="inlineStr">
        <is>
          <t>Q4 2025</t>
        </is>
      </c>
      <c r="I536" s="101" t="n">
        <v>69351</v>
      </c>
      <c r="J536" s="101" t="n">
        <v>64967.63</v>
      </c>
      <c r="K536" s="101" t="n">
        <v>61081.53</v>
      </c>
      <c r="L536" s="165">
        <f>I536-J536</f>
        <v/>
      </c>
      <c r="M536" s="166">
        <f>IF(I536=0,0,ROUND((I536-J536)/I536,4))</f>
        <v/>
      </c>
      <c r="N536" s="104">
        <f>IF(I536=0,0,J536/I536)</f>
        <v/>
      </c>
      <c r="O536" s="105">
        <f>IF(L536&gt;=0,"Under","Over")</f>
        <v/>
      </c>
      <c r="P536" s="69">
        <f>IF(M536&lt;-0.05,"Watch","On Track")</f>
        <v/>
      </c>
    </row>
    <row r="537" ht="16" customHeight="1">
      <c r="A537" s="106" t="inlineStr">
        <is>
          <t>CC-00536</t>
        </is>
      </c>
      <c r="B537" s="71" t="inlineStr">
        <is>
          <t>EVT-2025-049</t>
        </is>
      </c>
      <c r="C537" s="70" t="inlineStr">
        <is>
          <t>Hemaflex Webinar Istanbul Dec 2025</t>
        </is>
      </c>
      <c r="D537" s="70" t="inlineStr">
        <is>
          <t>Hematology</t>
        </is>
      </c>
      <c r="E537" s="70" t="inlineStr">
        <is>
          <t>BU Oncology</t>
        </is>
      </c>
      <c r="F537" s="71" t="inlineStr">
        <is>
          <t>Speaker Fees</t>
        </is>
      </c>
      <c r="G537" s="71" t="inlineStr">
        <is>
          <t>Dec-2025</t>
        </is>
      </c>
      <c r="H537" s="71" t="inlineStr">
        <is>
          <t>Q4 2025</t>
        </is>
      </c>
      <c r="I537" s="73" t="n">
        <v>49536.43</v>
      </c>
      <c r="J537" s="73" t="n">
        <v>52475.99</v>
      </c>
      <c r="K537" s="73" t="n">
        <v>46024.09</v>
      </c>
      <c r="L537" s="158">
        <f>I537-J537</f>
        <v/>
      </c>
      <c r="M537" s="159">
        <f>IF(I537=0,0,ROUND((I537-J537)/I537,4))</f>
        <v/>
      </c>
      <c r="N537" s="107">
        <f>IF(I537=0,0,J537/I537)</f>
        <v/>
      </c>
      <c r="O537" s="112">
        <f>IF(L537&gt;=0,"Under","Over")</f>
        <v/>
      </c>
      <c r="P537" s="76">
        <f>IF(M537&lt;-0.05,"Watch","On Track")</f>
        <v/>
      </c>
    </row>
    <row r="538" ht="16" customHeight="1">
      <c r="A538" s="98" t="inlineStr">
        <is>
          <t>CC-00537</t>
        </is>
      </c>
      <c r="B538" s="99" t="inlineStr">
        <is>
          <t>EVT-2025-049</t>
        </is>
      </c>
      <c r="C538" s="100" t="inlineStr">
        <is>
          <t>Hemaflex Webinar Istanbul Dec 2025</t>
        </is>
      </c>
      <c r="D538" s="100" t="inlineStr">
        <is>
          <t>Hematology</t>
        </is>
      </c>
      <c r="E538" s="100" t="inlineStr">
        <is>
          <t>BU Oncology</t>
        </is>
      </c>
      <c r="F538" s="99" t="inlineStr">
        <is>
          <t>Translation</t>
        </is>
      </c>
      <c r="G538" s="99" t="inlineStr">
        <is>
          <t>Dec-2025</t>
        </is>
      </c>
      <c r="H538" s="99" t="inlineStr">
        <is>
          <t>Q4 2025</t>
        </is>
      </c>
      <c r="I538" s="101" t="n">
        <v>14860.93</v>
      </c>
      <c r="J538" s="101" t="n">
        <v>13910.65</v>
      </c>
      <c r="K538" s="101" t="n">
        <v>11044.44</v>
      </c>
      <c r="L538" s="165">
        <f>I538-J538</f>
        <v/>
      </c>
      <c r="M538" s="166">
        <f>IF(I538=0,0,ROUND((I538-J538)/I538,4))</f>
        <v/>
      </c>
      <c r="N538" s="104">
        <f>IF(I538=0,0,J538/I538)</f>
        <v/>
      </c>
      <c r="O538" s="105">
        <f>IF(L538&gt;=0,"Under","Over")</f>
        <v/>
      </c>
      <c r="P538" s="69">
        <f>IF(M538&lt;-0.05,"Watch","On Track")</f>
        <v/>
      </c>
    </row>
    <row r="539" ht="16" customHeight="1">
      <c r="A539" s="106" t="inlineStr">
        <is>
          <t>CC-00538</t>
        </is>
      </c>
      <c r="B539" s="71" t="inlineStr">
        <is>
          <t>EVT-2025-049</t>
        </is>
      </c>
      <c r="C539" s="70" t="inlineStr">
        <is>
          <t>Hemaflex Webinar Istanbul Dec 2025</t>
        </is>
      </c>
      <c r="D539" s="70" t="inlineStr">
        <is>
          <t>Hematology</t>
        </is>
      </c>
      <c r="E539" s="70" t="inlineStr">
        <is>
          <t>BU Oncology</t>
        </is>
      </c>
      <c r="F539" s="71" t="inlineStr">
        <is>
          <t>Print &amp; Production</t>
        </is>
      </c>
      <c r="G539" s="71" t="inlineStr">
        <is>
          <t>Dec-2025</t>
        </is>
      </c>
      <c r="H539" s="71" t="inlineStr">
        <is>
          <t>Q4 2025</t>
        </is>
      </c>
      <c r="I539" s="73" t="n">
        <v>9907.290000000001</v>
      </c>
      <c r="J539" s="73" t="n">
        <v>7126.18</v>
      </c>
      <c r="K539" s="73" t="n">
        <v>5238.35</v>
      </c>
      <c r="L539" s="163">
        <f>I539-J539</f>
        <v/>
      </c>
      <c r="M539" s="161">
        <f>IF(I539=0,0,ROUND((I539-J539)/I539,4))</f>
        <v/>
      </c>
      <c r="N539" s="107">
        <f>IF(I539=0,0,J539/I539)</f>
        <v/>
      </c>
      <c r="O539" s="108">
        <f>IF(L539&gt;=0,"Under","Over")</f>
        <v/>
      </c>
      <c r="P539" s="69">
        <f>IF(M539&lt;-0.05,"Watch","On Track")</f>
        <v/>
      </c>
    </row>
    <row r="540" ht="16" customHeight="1">
      <c r="A540" s="98" t="inlineStr">
        <is>
          <t>CC-00539</t>
        </is>
      </c>
      <c r="B540" s="99" t="inlineStr">
        <is>
          <t>EVT-2025-049</t>
        </is>
      </c>
      <c r="C540" s="100" t="inlineStr">
        <is>
          <t>Hemaflex Webinar Istanbul Dec 2025</t>
        </is>
      </c>
      <c r="D540" s="100" t="inlineStr">
        <is>
          <t>Hematology</t>
        </is>
      </c>
      <c r="E540" s="100" t="inlineStr">
        <is>
          <t>BU Oncology</t>
        </is>
      </c>
      <c r="F540" s="99" t="inlineStr">
        <is>
          <t>Miscellaneous</t>
        </is>
      </c>
      <c r="G540" s="99" t="inlineStr">
        <is>
          <t>Dec-2025</t>
        </is>
      </c>
      <c r="H540" s="99" t="inlineStr">
        <is>
          <t>Q4 2025</t>
        </is>
      </c>
      <c r="I540" s="101" t="n">
        <v>9907.290000000001</v>
      </c>
      <c r="J540" s="101" t="n">
        <v>7793.6</v>
      </c>
      <c r="K540" s="101" t="n">
        <v>5786.03</v>
      </c>
      <c r="L540" s="165">
        <f>I540-J540</f>
        <v/>
      </c>
      <c r="M540" s="166">
        <f>IF(I540=0,0,ROUND((I540-J540)/I540,4))</f>
        <v/>
      </c>
      <c r="N540" s="104">
        <f>IF(I540=0,0,J540/I540)</f>
        <v/>
      </c>
      <c r="O540" s="105">
        <f>IF(L540&gt;=0,"Under","Over")</f>
        <v/>
      </c>
      <c r="P540" s="69">
        <f>IF(M540&lt;-0.05,"Watch","On Track")</f>
        <v/>
      </c>
    </row>
    <row r="541" ht="16" customHeight="1">
      <c r="A541" s="106" t="inlineStr">
        <is>
          <t>CC-00540</t>
        </is>
      </c>
      <c r="B541" s="71" t="inlineStr">
        <is>
          <t>EVT-2025-050</t>
        </is>
      </c>
      <c r="C541" s="70" t="inlineStr">
        <is>
          <t>Infectoban Launch Event Paris Jun 2025</t>
        </is>
      </c>
      <c r="D541" s="70" t="inlineStr">
        <is>
          <t>Infectious Diseases</t>
        </is>
      </c>
      <c r="E541" s="70" t="inlineStr">
        <is>
          <t>BU Infectious Diseases</t>
        </is>
      </c>
      <c r="F541" s="71" t="inlineStr">
        <is>
          <t>Airfare</t>
        </is>
      </c>
      <c r="G541" s="71" t="inlineStr">
        <is>
          <t>Jun-2025</t>
        </is>
      </c>
      <c r="H541" s="71" t="inlineStr">
        <is>
          <t>Q2 2025</t>
        </is>
      </c>
      <c r="I541" s="73" t="n">
        <v>20718.96</v>
      </c>
      <c r="J541" s="73" t="n">
        <v>16455.65</v>
      </c>
      <c r="K541" s="73" t="n">
        <v>14463.33</v>
      </c>
      <c r="L541" s="163">
        <f>I541-J541</f>
        <v/>
      </c>
      <c r="M541" s="161">
        <f>IF(I541=0,0,ROUND((I541-J541)/I541,4))</f>
        <v/>
      </c>
      <c r="N541" s="107">
        <f>IF(I541=0,0,J541/I541)</f>
        <v/>
      </c>
      <c r="O541" s="108">
        <f>IF(L541&gt;=0,"Under","Over")</f>
        <v/>
      </c>
      <c r="P541" s="69">
        <f>IF(M541&lt;-0.05,"Watch","On Track")</f>
        <v/>
      </c>
    </row>
    <row r="542" ht="16" customHeight="1">
      <c r="A542" s="98" t="inlineStr">
        <is>
          <t>CC-00541</t>
        </is>
      </c>
      <c r="B542" s="99" t="inlineStr">
        <is>
          <t>EVT-2025-050</t>
        </is>
      </c>
      <c r="C542" s="100" t="inlineStr">
        <is>
          <t>Infectoban Launch Event Paris Jun 2025</t>
        </is>
      </c>
      <c r="D542" s="100" t="inlineStr">
        <is>
          <t>Infectious Diseases</t>
        </is>
      </c>
      <c r="E542" s="100" t="inlineStr">
        <is>
          <t>BU Infectious Diseases</t>
        </is>
      </c>
      <c r="F542" s="99" t="inlineStr">
        <is>
          <t>Hotel</t>
        </is>
      </c>
      <c r="G542" s="99" t="inlineStr">
        <is>
          <t>Jun-2025</t>
        </is>
      </c>
      <c r="H542" s="99" t="inlineStr">
        <is>
          <t>Q2 2025</t>
        </is>
      </c>
      <c r="I542" s="101" t="n">
        <v>37294.13</v>
      </c>
      <c r="J542" s="101" t="n">
        <v>33094.92</v>
      </c>
      <c r="K542" s="101" t="n">
        <v>27366.57</v>
      </c>
      <c r="L542" s="165">
        <f>I542-J542</f>
        <v/>
      </c>
      <c r="M542" s="166">
        <f>IF(I542=0,0,ROUND((I542-J542)/I542,4))</f>
        <v/>
      </c>
      <c r="N542" s="104">
        <f>IF(I542=0,0,J542/I542)</f>
        <v/>
      </c>
      <c r="O542" s="105">
        <f>IF(L542&gt;=0,"Under","Over")</f>
        <v/>
      </c>
      <c r="P542" s="69">
        <f>IF(M542&lt;-0.05,"Watch","On Track")</f>
        <v/>
      </c>
    </row>
    <row r="543" ht="16" customHeight="1">
      <c r="A543" s="106" t="inlineStr">
        <is>
          <t>CC-00542</t>
        </is>
      </c>
      <c r="B543" s="71" t="inlineStr">
        <is>
          <t>EVT-2025-050</t>
        </is>
      </c>
      <c r="C543" s="70" t="inlineStr">
        <is>
          <t>Infectoban Launch Event Paris Jun 2025</t>
        </is>
      </c>
      <c r="D543" s="70" t="inlineStr">
        <is>
          <t>Infectious Diseases</t>
        </is>
      </c>
      <c r="E543" s="70" t="inlineStr">
        <is>
          <t>BU Infectious Diseases</t>
        </is>
      </c>
      <c r="F543" s="71" t="inlineStr">
        <is>
          <t>Venue</t>
        </is>
      </c>
      <c r="G543" s="71" t="inlineStr">
        <is>
          <t>Jun-2025</t>
        </is>
      </c>
      <c r="H543" s="71" t="inlineStr">
        <is>
          <t>Q2 2025</t>
        </is>
      </c>
      <c r="I543" s="73" t="n">
        <v>31078.44</v>
      </c>
      <c r="J543" s="73" t="n">
        <v>26209.54</v>
      </c>
      <c r="K543" s="73" t="n">
        <v>22572.02</v>
      </c>
      <c r="L543" s="163">
        <f>I543-J543</f>
        <v/>
      </c>
      <c r="M543" s="161">
        <f>IF(I543=0,0,ROUND((I543-J543)/I543,4))</f>
        <v/>
      </c>
      <c r="N543" s="107">
        <f>IF(I543=0,0,J543/I543)</f>
        <v/>
      </c>
      <c r="O543" s="108">
        <f>IF(L543&gt;=0,"Under","Over")</f>
        <v/>
      </c>
      <c r="P543" s="69">
        <f>IF(M543&lt;-0.05,"Watch","On Track")</f>
        <v/>
      </c>
    </row>
    <row r="544" ht="16" customHeight="1">
      <c r="A544" s="98" t="inlineStr">
        <is>
          <t>CC-00543</t>
        </is>
      </c>
      <c r="B544" s="99" t="inlineStr">
        <is>
          <t>EVT-2025-050</t>
        </is>
      </c>
      <c r="C544" s="100" t="inlineStr">
        <is>
          <t>Infectoban Launch Event Paris Jun 2025</t>
        </is>
      </c>
      <c r="D544" s="100" t="inlineStr">
        <is>
          <t>Infectious Diseases</t>
        </is>
      </c>
      <c r="E544" s="100" t="inlineStr">
        <is>
          <t>BU Infectious Diseases</t>
        </is>
      </c>
      <c r="F544" s="99" t="inlineStr">
        <is>
          <t>F&amp;B</t>
        </is>
      </c>
      <c r="G544" s="99" t="inlineStr">
        <is>
          <t>Jun-2025</t>
        </is>
      </c>
      <c r="H544" s="99" t="inlineStr">
        <is>
          <t>Q2 2025</t>
        </is>
      </c>
      <c r="I544" s="101" t="n">
        <v>24862.75</v>
      </c>
      <c r="J544" s="101" t="n">
        <v>26344.09</v>
      </c>
      <c r="K544" s="101" t="n">
        <v>25796.36</v>
      </c>
      <c r="L544" s="167">
        <f>I544-J544</f>
        <v/>
      </c>
      <c r="M544" s="168">
        <f>IF(I544=0,0,ROUND((I544-J544)/I544,4))</f>
        <v/>
      </c>
      <c r="N544" s="104">
        <f>IF(I544=0,0,J544/I544)</f>
        <v/>
      </c>
      <c r="O544" s="111">
        <f>IF(L544&gt;=0,"Under","Over")</f>
        <v/>
      </c>
      <c r="P544" s="76">
        <f>IF(M544&lt;-0.05,"Watch","On Track")</f>
        <v/>
      </c>
    </row>
    <row r="545" ht="16" customHeight="1">
      <c r="A545" s="106" t="inlineStr">
        <is>
          <t>CC-00544</t>
        </is>
      </c>
      <c r="B545" s="71" t="inlineStr">
        <is>
          <t>EVT-2025-050</t>
        </is>
      </c>
      <c r="C545" s="70" t="inlineStr">
        <is>
          <t>Infectoban Launch Event Paris Jun 2025</t>
        </is>
      </c>
      <c r="D545" s="70" t="inlineStr">
        <is>
          <t>Infectious Diseases</t>
        </is>
      </c>
      <c r="E545" s="70" t="inlineStr">
        <is>
          <t>BU Infectious Diseases</t>
        </is>
      </c>
      <c r="F545" s="71" t="inlineStr">
        <is>
          <t>Logistics</t>
        </is>
      </c>
      <c r="G545" s="71" t="inlineStr">
        <is>
          <t>Jun-2025</t>
        </is>
      </c>
      <c r="H545" s="71" t="inlineStr">
        <is>
          <t>Q2 2025</t>
        </is>
      </c>
      <c r="I545" s="73" t="n">
        <v>12431.38</v>
      </c>
      <c r="J545" s="73" t="n">
        <v>8535.6</v>
      </c>
      <c r="K545" s="73" t="n">
        <v>6402.21</v>
      </c>
      <c r="L545" s="163">
        <f>I545-J545</f>
        <v/>
      </c>
      <c r="M545" s="161">
        <f>IF(I545=0,0,ROUND((I545-J545)/I545,4))</f>
        <v/>
      </c>
      <c r="N545" s="107">
        <f>IF(I545=0,0,J545/I545)</f>
        <v/>
      </c>
      <c r="O545" s="108">
        <f>IF(L545&gt;=0,"Under","Over")</f>
        <v/>
      </c>
      <c r="P545" s="69">
        <f>IF(M545&lt;-0.05,"Watch","On Track")</f>
        <v/>
      </c>
    </row>
    <row r="546" ht="16" customHeight="1">
      <c r="A546" s="98" t="inlineStr">
        <is>
          <t>CC-00545</t>
        </is>
      </c>
      <c r="B546" s="99" t="inlineStr">
        <is>
          <t>EVT-2025-050</t>
        </is>
      </c>
      <c r="C546" s="100" t="inlineStr">
        <is>
          <t>Infectoban Launch Event Paris Jun 2025</t>
        </is>
      </c>
      <c r="D546" s="100" t="inlineStr">
        <is>
          <t>Infectious Diseases</t>
        </is>
      </c>
      <c r="E546" s="100" t="inlineStr">
        <is>
          <t>BU Infectious Diseases</t>
        </is>
      </c>
      <c r="F546" s="99" t="inlineStr">
        <is>
          <t>AV &amp; Technology</t>
        </is>
      </c>
      <c r="G546" s="99" t="inlineStr">
        <is>
          <t>Jun-2025</t>
        </is>
      </c>
      <c r="H546" s="99" t="inlineStr">
        <is>
          <t>Q2 2025</t>
        </is>
      </c>
      <c r="I546" s="101" t="n">
        <v>16575.17</v>
      </c>
      <c r="J546" s="101" t="n">
        <v>12338.84</v>
      </c>
      <c r="K546" s="101" t="n">
        <v>9329.76</v>
      </c>
      <c r="L546" s="165">
        <f>I546-J546</f>
        <v/>
      </c>
      <c r="M546" s="166">
        <f>IF(I546=0,0,ROUND((I546-J546)/I546,4))</f>
        <v/>
      </c>
      <c r="N546" s="104">
        <f>IF(I546=0,0,J546/I546)</f>
        <v/>
      </c>
      <c r="O546" s="105">
        <f>IF(L546&gt;=0,"Under","Over")</f>
        <v/>
      </c>
      <c r="P546" s="69">
        <f>IF(M546&lt;-0.05,"Watch","On Track")</f>
        <v/>
      </c>
    </row>
    <row r="547" ht="16" customHeight="1">
      <c r="A547" s="106" t="inlineStr">
        <is>
          <t>CC-00546</t>
        </is>
      </c>
      <c r="B547" s="71" t="inlineStr">
        <is>
          <t>EVT-2025-050</t>
        </is>
      </c>
      <c r="C547" s="70" t="inlineStr">
        <is>
          <t>Infectoban Launch Event Paris Jun 2025</t>
        </is>
      </c>
      <c r="D547" s="70" t="inlineStr">
        <is>
          <t>Infectious Diseases</t>
        </is>
      </c>
      <c r="E547" s="70" t="inlineStr">
        <is>
          <t>BU Infectious Diseases</t>
        </is>
      </c>
      <c r="F547" s="71" t="inlineStr">
        <is>
          <t>Agency Fees</t>
        </is>
      </c>
      <c r="G547" s="71" t="inlineStr">
        <is>
          <t>Jun-2025</t>
        </is>
      </c>
      <c r="H547" s="71" t="inlineStr">
        <is>
          <t>Q2 2025</t>
        </is>
      </c>
      <c r="I547" s="73" t="n">
        <v>29006.55</v>
      </c>
      <c r="J547" s="73" t="n">
        <v>29615.47</v>
      </c>
      <c r="K547" s="73" t="n">
        <v>26234.06</v>
      </c>
      <c r="L547" s="158">
        <f>I547-J547</f>
        <v/>
      </c>
      <c r="M547" s="161">
        <f>IF(I547=0,0,ROUND((I547-J547)/I547,4))</f>
        <v/>
      </c>
      <c r="N547" s="107">
        <f>IF(I547=0,0,J547/I547)</f>
        <v/>
      </c>
      <c r="O547" s="112">
        <f>IF(L547&gt;=0,"Under","Over")</f>
        <v/>
      </c>
      <c r="P547" s="69">
        <f>IF(M547&lt;-0.05,"Watch","On Track")</f>
        <v/>
      </c>
    </row>
    <row r="548" ht="16" customHeight="1">
      <c r="A548" s="98" t="inlineStr">
        <is>
          <t>CC-00547</t>
        </is>
      </c>
      <c r="B548" s="99" t="inlineStr">
        <is>
          <t>EVT-2025-050</t>
        </is>
      </c>
      <c r="C548" s="100" t="inlineStr">
        <is>
          <t>Infectoban Launch Event Paris Jun 2025</t>
        </is>
      </c>
      <c r="D548" s="100" t="inlineStr">
        <is>
          <t>Infectious Diseases</t>
        </is>
      </c>
      <c r="E548" s="100" t="inlineStr">
        <is>
          <t>BU Infectious Diseases</t>
        </is>
      </c>
      <c r="F548" s="99" t="inlineStr">
        <is>
          <t>Speaker Fees</t>
        </is>
      </c>
      <c r="G548" s="99" t="inlineStr">
        <is>
          <t>Jun-2025</t>
        </is>
      </c>
      <c r="H548" s="99" t="inlineStr">
        <is>
          <t>Q2 2025</t>
        </is>
      </c>
      <c r="I548" s="101" t="n">
        <v>20718.96</v>
      </c>
      <c r="J548" s="101" t="n">
        <v>21397.74</v>
      </c>
      <c r="K548" s="101" t="n">
        <v>21088.6</v>
      </c>
      <c r="L548" s="167">
        <f>I548-J548</f>
        <v/>
      </c>
      <c r="M548" s="166">
        <f>IF(I548=0,0,ROUND((I548-J548)/I548,4))</f>
        <v/>
      </c>
      <c r="N548" s="104">
        <f>IF(I548=0,0,J548/I548)</f>
        <v/>
      </c>
      <c r="O548" s="111">
        <f>IF(L548&gt;=0,"Under","Over")</f>
        <v/>
      </c>
      <c r="P548" s="69">
        <f>IF(M548&lt;-0.05,"Watch","On Track")</f>
        <v/>
      </c>
    </row>
    <row r="549" ht="16" customHeight="1">
      <c r="A549" s="106" t="inlineStr">
        <is>
          <t>CC-00548</t>
        </is>
      </c>
      <c r="B549" s="71" t="inlineStr">
        <is>
          <t>EVT-2025-050</t>
        </is>
      </c>
      <c r="C549" s="70" t="inlineStr">
        <is>
          <t>Infectoban Launch Event Paris Jun 2025</t>
        </is>
      </c>
      <c r="D549" s="70" t="inlineStr">
        <is>
          <t>Infectious Diseases</t>
        </is>
      </c>
      <c r="E549" s="70" t="inlineStr">
        <is>
          <t>BU Infectious Diseases</t>
        </is>
      </c>
      <c r="F549" s="71" t="inlineStr">
        <is>
          <t>Translation</t>
        </is>
      </c>
      <c r="G549" s="71" t="inlineStr">
        <is>
          <t>Jun-2025</t>
        </is>
      </c>
      <c r="H549" s="71" t="inlineStr">
        <is>
          <t>Q2 2025</t>
        </is>
      </c>
      <c r="I549" s="73" t="n">
        <v>6215.69</v>
      </c>
      <c r="J549" s="73" t="n">
        <v>5235.5</v>
      </c>
      <c r="K549" s="73" t="n">
        <v>3971.33</v>
      </c>
      <c r="L549" s="163">
        <f>I549-J549</f>
        <v/>
      </c>
      <c r="M549" s="161">
        <f>IF(I549=0,0,ROUND((I549-J549)/I549,4))</f>
        <v/>
      </c>
      <c r="N549" s="107">
        <f>IF(I549=0,0,J549/I549)</f>
        <v/>
      </c>
      <c r="O549" s="108">
        <f>IF(L549&gt;=0,"Under","Over")</f>
        <v/>
      </c>
      <c r="P549" s="69">
        <f>IF(M549&lt;-0.05,"Watch","On Track")</f>
        <v/>
      </c>
    </row>
    <row r="550" ht="16" customHeight="1">
      <c r="A550" s="98" t="inlineStr">
        <is>
          <t>CC-00549</t>
        </is>
      </c>
      <c r="B550" s="99" t="inlineStr">
        <is>
          <t>EVT-2025-050</t>
        </is>
      </c>
      <c r="C550" s="100" t="inlineStr">
        <is>
          <t>Infectoban Launch Event Paris Jun 2025</t>
        </is>
      </c>
      <c r="D550" s="100" t="inlineStr">
        <is>
          <t>Infectious Diseases</t>
        </is>
      </c>
      <c r="E550" s="100" t="inlineStr">
        <is>
          <t>BU Infectious Diseases</t>
        </is>
      </c>
      <c r="F550" s="99" t="inlineStr">
        <is>
          <t>Print &amp; Production</t>
        </is>
      </c>
      <c r="G550" s="99" t="inlineStr">
        <is>
          <t>Jun-2025</t>
        </is>
      </c>
      <c r="H550" s="99" t="inlineStr">
        <is>
          <t>Q2 2025</t>
        </is>
      </c>
      <c r="I550" s="101" t="n">
        <v>4143.79</v>
      </c>
      <c r="J550" s="101" t="n">
        <v>3281.77</v>
      </c>
      <c r="K550" s="101" t="n">
        <v>2850.13</v>
      </c>
      <c r="L550" s="165">
        <f>I550-J550</f>
        <v/>
      </c>
      <c r="M550" s="166">
        <f>IF(I550=0,0,ROUND((I550-J550)/I550,4))</f>
        <v/>
      </c>
      <c r="N550" s="104">
        <f>IF(I550=0,0,J550/I550)</f>
        <v/>
      </c>
      <c r="O550" s="105">
        <f>IF(L550&gt;=0,"Under","Over")</f>
        <v/>
      </c>
      <c r="P550" s="69">
        <f>IF(M550&lt;-0.05,"Watch","On Track")</f>
        <v/>
      </c>
    </row>
    <row r="551" ht="16" customHeight="1">
      <c r="A551" s="106" t="inlineStr">
        <is>
          <t>CC-00550</t>
        </is>
      </c>
      <c r="B551" s="71" t="inlineStr">
        <is>
          <t>EVT-2025-050</t>
        </is>
      </c>
      <c r="C551" s="70" t="inlineStr">
        <is>
          <t>Infectoban Launch Event Paris Jun 2025</t>
        </is>
      </c>
      <c r="D551" s="70" t="inlineStr">
        <is>
          <t>Infectious Diseases</t>
        </is>
      </c>
      <c r="E551" s="70" t="inlineStr">
        <is>
          <t>BU Infectious Diseases</t>
        </is>
      </c>
      <c r="F551" s="71" t="inlineStr">
        <is>
          <t>Miscellaneous</t>
        </is>
      </c>
      <c r="G551" s="71" t="inlineStr">
        <is>
          <t>Jun-2025</t>
        </is>
      </c>
      <c r="H551" s="71" t="inlineStr">
        <is>
          <t>Q2 2025</t>
        </is>
      </c>
      <c r="I551" s="73" t="n">
        <v>4143.79</v>
      </c>
      <c r="J551" s="73" t="n">
        <v>3839.37</v>
      </c>
      <c r="K551" s="73" t="n">
        <v>3158.8</v>
      </c>
      <c r="L551" s="163">
        <f>I551-J551</f>
        <v/>
      </c>
      <c r="M551" s="161">
        <f>IF(I551=0,0,ROUND((I551-J551)/I551,4))</f>
        <v/>
      </c>
      <c r="N551" s="107">
        <f>IF(I551=0,0,J551/I551)</f>
        <v/>
      </c>
      <c r="O551" s="108">
        <f>IF(L551&gt;=0,"Under","Over")</f>
        <v/>
      </c>
      <c r="P551" s="69">
        <f>IF(M551&lt;-0.05,"Watch","On Track")</f>
        <v/>
      </c>
    </row>
    <row r="553" ht="24" customHeight="1">
      <c r="A553" s="175" t="inlineStr">
        <is>
          <t>TOTALS</t>
        </is>
      </c>
      <c r="B553" s="181" t="n"/>
      <c r="C553" s="181" t="n"/>
      <c r="D553" s="181" t="n"/>
      <c r="E553" s="181" t="n"/>
      <c r="F553" s="181" t="n"/>
      <c r="G553" s="181" t="n"/>
      <c r="H553" s="181" t="n"/>
      <c r="I553" s="176">
        <f>SUM(I2:I551)</f>
        <v/>
      </c>
      <c r="J553" s="176">
        <f>SUM(J2:J551)</f>
        <v/>
      </c>
      <c r="K553" s="176">
        <f>SUM(K2:K551)</f>
        <v/>
      </c>
      <c r="L553" s="176">
        <f>SUM(L2:L551)</f>
        <v/>
      </c>
      <c r="M553" s="177" t="n"/>
      <c r="N553" s="177" t="n"/>
      <c r="O553" s="177" t="n"/>
      <c r="P553" s="177" t="n"/>
    </row>
  </sheetData>
  <autoFilter ref="A1:P551"/>
  <mergeCells count="1">
    <mergeCell ref="A553:H553"/>
  </mergeCells>
  <conditionalFormatting sqref="M2:M551">
    <cfRule type="colorScale" priority="1">
      <colorScale>
        <cfvo type="num" val="-0.3"/>
        <cfvo type="num" val="0"/>
        <cfvo type="num" val="0.3"/>
        <color rgb="00C00000"/>
        <color rgb="00FFFF00"/>
        <color rgb="00375623"/>
      </colorScale>
    </cfRule>
  </conditionalFormatting>
  <conditionalFormatting sqref="P2:P551">
    <cfRule type="cellIs" priority="2" operator="equal" dxfId="7">
      <formula>"Watch"</formula>
    </cfRule>
  </conditionalFormatting>
  <conditionalFormatting sqref="O2:O551">
    <cfRule type="cellIs" priority="3" operator="equal" dxfId="6">
      <formula>"Over"</formula>
    </cfRule>
  </conditionalFormatting>
  <printOptions gridLines="0"/>
  <pageMargins left="0.4" right="0.4" top="0.6" bottom="0.6" header="0.3" footer="0.3"/>
  <pageSetup orientation="landscape" fitToHeight="0" fitToWidth="1"/>
  <headerFooter>
    <oddHeader/>
    <oddFooter>&amp;LConfidential – Internal Use Only&amp;C&amp;A&amp;RPage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S151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0" customWidth="1" min="4" max="4"/>
    <col width="13" customWidth="1" min="5" max="5"/>
    <col width="13" customWidth="1" min="6" max="6"/>
    <col width="14" customWidth="1" min="7" max="7"/>
    <col width="14" customWidth="1" min="8" max="8"/>
    <col width="10" customWidth="1" min="9" max="9"/>
    <col width="12" customWidth="1" min="10" max="10"/>
    <col width="12" customWidth="1" min="11" max="11"/>
    <col width="18" customWidth="1" min="12" max="12"/>
    <col width="16" customWidth="1" min="13" max="13"/>
    <col width="16" customWidth="1" min="14" max="14"/>
    <col width="13" customWidth="1" min="15" max="15"/>
    <col width="13" customWidth="1" min="16" max="16"/>
    <col width="18" customWidth="1" min="17" max="17"/>
    <col width="18" customWidth="1" min="18" max="18"/>
    <col width="25" customWidth="1" min="19" max="19"/>
  </cols>
  <sheetData>
    <row r="1" ht="30" customHeight="1">
      <c r="A1" s="113" t="inlineStr">
        <is>
          <t>PO Number</t>
        </is>
      </c>
      <c r="B1" s="113" t="inlineStr">
        <is>
          <t>Event ID</t>
        </is>
      </c>
      <c r="C1" s="113" t="inlineStr">
        <is>
          <t>Supplier</t>
        </is>
      </c>
      <c r="D1" s="113" t="inlineStr">
        <is>
          <t>Category</t>
        </is>
      </c>
      <c r="E1" s="113" t="inlineStr">
        <is>
          <t>Request Date</t>
        </is>
      </c>
      <c r="F1" s="113" t="inlineStr">
        <is>
          <t>Approval Date</t>
        </is>
      </c>
      <c r="G1" s="113" t="inlineStr">
        <is>
          <t>Days to Approve</t>
        </is>
      </c>
      <c r="H1" s="113" t="inlineStr">
        <is>
          <t>Amount (€)</t>
        </is>
      </c>
      <c r="I1" s="113" t="inlineStr">
        <is>
          <t>Currency</t>
        </is>
      </c>
      <c r="J1" s="113" t="inlineStr">
        <is>
          <t>Cost Center</t>
        </is>
      </c>
      <c r="K1" s="113" t="inlineStr">
        <is>
          <t>GL Account</t>
        </is>
      </c>
      <c r="L1" s="113" t="inlineStr">
        <is>
          <t>PO Status</t>
        </is>
      </c>
      <c r="M1" s="113" t="inlineStr">
        <is>
          <t>Invoice Number</t>
        </is>
      </c>
      <c r="N1" s="113" t="inlineStr">
        <is>
          <t>Payment Status</t>
        </is>
      </c>
      <c r="O1" s="113" t="inlineStr">
        <is>
          <t>Due Date</t>
        </is>
      </c>
      <c r="P1" s="113" t="inlineStr">
        <is>
          <t>Days Overdue</t>
        </is>
      </c>
      <c r="Q1" s="113" t="inlineStr">
        <is>
          <t>Requestor</t>
        </is>
      </c>
      <c r="R1" s="113" t="inlineStr">
        <is>
          <t>Approver</t>
        </is>
      </c>
      <c r="S1" s="113" t="inlineStr">
        <is>
          <t>Notes</t>
        </is>
      </c>
    </row>
    <row r="2" ht="18" customHeight="1">
      <c r="A2" s="114" t="inlineStr">
        <is>
          <t>PO-2025-1001</t>
        </is>
      </c>
      <c r="B2" s="85" t="inlineStr">
        <is>
          <t>EVT-2025-001</t>
        </is>
      </c>
      <c r="C2" s="86" t="inlineStr">
        <is>
          <t>Translingua Pro</t>
        </is>
      </c>
      <c r="D2" s="86" t="inlineStr">
        <is>
          <t>Translation &amp; Interpretation</t>
        </is>
      </c>
      <c r="E2" s="164" t="n">
        <v>45690</v>
      </c>
      <c r="F2" s="164" t="n">
        <v>45699</v>
      </c>
      <c r="G2" s="90">
        <f>F2-E2</f>
        <v/>
      </c>
      <c r="H2" s="87" t="n">
        <v>56833.03</v>
      </c>
      <c r="I2" s="85" t="inlineStr">
        <is>
          <t>EUR</t>
        </is>
      </c>
      <c r="J2" s="85" t="inlineStr">
        <is>
          <t>CC-8272</t>
        </is>
      </c>
      <c r="K2" s="85" t="inlineStr">
        <is>
          <t>GL-6315</t>
        </is>
      </c>
      <c r="L2" s="76" t="inlineStr">
        <is>
          <t>Pending Approval</t>
        </is>
      </c>
      <c r="M2" s="85" t="inlineStr">
        <is>
          <t>INV-01001</t>
        </is>
      </c>
      <c r="N2" s="88" t="inlineStr">
        <is>
          <t>Approved</t>
        </is>
      </c>
      <c r="O2" s="164" t="n">
        <v>45751</v>
      </c>
      <c r="P2" s="90" t="n">
        <v>0</v>
      </c>
      <c r="Q2" s="86" t="inlineStr">
        <is>
          <t>Marco Bianchi</t>
        </is>
      </c>
      <c r="R2" s="86" t="inlineStr">
        <is>
          <t>David O'Brien</t>
        </is>
      </c>
      <c r="S2" s="86" t="inlineStr"/>
    </row>
    <row r="3" ht="18" customHeight="1">
      <c r="A3" s="115" t="inlineStr">
        <is>
          <t>PO-2025-1002</t>
        </is>
      </c>
      <c r="B3" s="71" t="inlineStr">
        <is>
          <t>EVT-2025-001</t>
        </is>
      </c>
      <c r="C3" s="70" t="inlineStr">
        <is>
          <t>Catering Excellence</t>
        </is>
      </c>
      <c r="D3" s="70" t="inlineStr">
        <is>
          <t>F&amp;B / Catering</t>
        </is>
      </c>
      <c r="E3" s="157" t="n">
        <v>45713</v>
      </c>
      <c r="F3" s="157" t="n">
        <v>45719</v>
      </c>
      <c r="G3" s="91">
        <f>F3-E3</f>
        <v/>
      </c>
      <c r="H3" s="73" t="n">
        <v>50754.52</v>
      </c>
      <c r="I3" s="71" t="inlineStr">
        <is>
          <t>EUR</t>
        </is>
      </c>
      <c r="J3" s="71" t="inlineStr">
        <is>
          <t>CC-5785</t>
        </is>
      </c>
      <c r="K3" s="71" t="inlineStr">
        <is>
          <t>GL-6310</t>
        </is>
      </c>
      <c r="L3" s="69" t="inlineStr">
        <is>
          <t>Approved</t>
        </is>
      </c>
      <c r="M3" s="71" t="inlineStr">
        <is>
          <t>INV-01002</t>
        </is>
      </c>
      <c r="N3" s="88" t="inlineStr">
        <is>
          <t>Approved</t>
        </is>
      </c>
      <c r="O3" s="157" t="n">
        <v>45744</v>
      </c>
      <c r="P3" s="91" t="n">
        <v>0</v>
      </c>
      <c r="Q3" s="70" t="inlineStr">
        <is>
          <t>James Wilson</t>
        </is>
      </c>
      <c r="R3" s="70" t="inlineStr">
        <is>
          <t>Lena Schneider</t>
        </is>
      </c>
      <c r="S3" s="70" t="inlineStr"/>
    </row>
    <row r="4" ht="18" customHeight="1">
      <c r="A4" s="114" t="inlineStr">
        <is>
          <t>PO-2025-1003</t>
        </is>
      </c>
      <c r="B4" s="85" t="inlineStr">
        <is>
          <t>EVT-2025-001</t>
        </is>
      </c>
      <c r="C4" s="86" t="inlineStr">
        <is>
          <t>AVIAWORLD Travel</t>
        </is>
      </c>
      <c r="D4" s="86" t="inlineStr">
        <is>
          <t>Travel &amp; Air</t>
        </is>
      </c>
      <c r="E4" s="164" t="n">
        <v>45713</v>
      </c>
      <c r="F4" s="164" t="n">
        <v>45718</v>
      </c>
      <c r="G4" s="90">
        <f>F4-E4</f>
        <v/>
      </c>
      <c r="H4" s="87" t="n">
        <v>19535.14</v>
      </c>
      <c r="I4" s="85" t="inlineStr">
        <is>
          <t>EUR</t>
        </is>
      </c>
      <c r="J4" s="85" t="inlineStr">
        <is>
          <t>CC-8492</t>
        </is>
      </c>
      <c r="K4" s="85" t="inlineStr">
        <is>
          <t>GL-6320</t>
        </is>
      </c>
      <c r="L4" s="93" t="inlineStr">
        <is>
          <t>Cancelled</t>
        </is>
      </c>
      <c r="M4" s="85" t="inlineStr"/>
      <c r="N4" s="96" t="inlineStr">
        <is>
          <t>Cancelled</t>
        </is>
      </c>
      <c r="O4" s="164" t="n">
        <v>45761</v>
      </c>
      <c r="P4" s="90" t="n">
        <v>0</v>
      </c>
      <c r="Q4" s="86" t="inlineStr">
        <is>
          <t>Carlos Navarro</t>
        </is>
      </c>
      <c r="R4" s="86" t="inlineStr">
        <is>
          <t>Lena Schneider</t>
        </is>
      </c>
      <c r="S4" s="86" t="inlineStr"/>
    </row>
    <row r="5" ht="18" customHeight="1">
      <c r="A5" s="115" t="inlineStr">
        <is>
          <t>PO-2025-1004</t>
        </is>
      </c>
      <c r="B5" s="71" t="inlineStr">
        <is>
          <t>EVT-2025-001</t>
        </is>
      </c>
      <c r="C5" s="70" t="inlineStr">
        <is>
          <t>Prime Hospitality Group</t>
        </is>
      </c>
      <c r="D5" s="70" t="inlineStr">
        <is>
          <t>Hotel &amp; Venue</t>
        </is>
      </c>
      <c r="E5" s="157" t="n">
        <v>45694</v>
      </c>
      <c r="F5" s="157" t="n">
        <v>45698</v>
      </c>
      <c r="G5" s="91">
        <f>F5-E5</f>
        <v/>
      </c>
      <c r="H5" s="73" t="n">
        <v>14941.98</v>
      </c>
      <c r="I5" s="71" t="inlineStr">
        <is>
          <t>EUR</t>
        </is>
      </c>
      <c r="J5" s="71" t="inlineStr">
        <is>
          <t>CC-2871</t>
        </is>
      </c>
      <c r="K5" s="71" t="inlineStr">
        <is>
          <t>GL-6312</t>
        </is>
      </c>
      <c r="L5" s="116" t="inlineStr">
        <is>
          <t>Closed</t>
        </is>
      </c>
      <c r="M5" s="71" t="inlineStr"/>
      <c r="N5" s="96" t="inlineStr">
        <is>
          <t>Cancelled</t>
        </is>
      </c>
      <c r="O5" s="157" t="n">
        <v>45756</v>
      </c>
      <c r="P5" s="91" t="n">
        <v>0</v>
      </c>
      <c r="Q5" s="70" t="inlineStr">
        <is>
          <t>Lucas Dupont</t>
        </is>
      </c>
      <c r="R5" s="70" t="inlineStr">
        <is>
          <t>Lena Schneider</t>
        </is>
      </c>
      <c r="S5" s="70" t="inlineStr"/>
    </row>
    <row r="6" ht="18" customHeight="1">
      <c r="A6" s="114" t="inlineStr">
        <is>
          <t>PO-2025-1005</t>
        </is>
      </c>
      <c r="B6" s="85" t="inlineStr">
        <is>
          <t>EVT-2025-001</t>
        </is>
      </c>
      <c r="C6" s="86" t="inlineStr">
        <is>
          <t>TechEvent Systems</t>
        </is>
      </c>
      <c r="D6" s="86" t="inlineStr">
        <is>
          <t>Registration &amp; Tech</t>
        </is>
      </c>
      <c r="E6" s="164" t="n">
        <v>45669</v>
      </c>
      <c r="F6" s="164" t="n">
        <v>45672</v>
      </c>
      <c r="G6" s="90">
        <f>F6-E6</f>
        <v/>
      </c>
      <c r="H6" s="87" t="n">
        <v>36253.97</v>
      </c>
      <c r="I6" s="85" t="inlineStr">
        <is>
          <t>EUR</t>
        </is>
      </c>
      <c r="J6" s="85" t="inlineStr">
        <is>
          <t>CC-8231</t>
        </is>
      </c>
      <c r="K6" s="85" t="inlineStr">
        <is>
          <t>GL-6320</t>
        </is>
      </c>
      <c r="L6" s="76" t="inlineStr">
        <is>
          <t>Pending Approval</t>
        </is>
      </c>
      <c r="M6" s="85" t="inlineStr">
        <is>
          <t>INV-01005</t>
        </is>
      </c>
      <c r="N6" s="76" t="inlineStr">
        <is>
          <t>Disputed</t>
        </is>
      </c>
      <c r="O6" s="164" t="n">
        <v>45751</v>
      </c>
      <c r="P6" s="90" t="n">
        <v>0</v>
      </c>
      <c r="Q6" s="86" t="inlineStr">
        <is>
          <t>Emma Johansson</t>
        </is>
      </c>
      <c r="R6" s="86" t="inlineStr">
        <is>
          <t>Marco Bianchi</t>
        </is>
      </c>
      <c r="S6" s="86" t="inlineStr"/>
    </row>
    <row r="7" ht="18" customHeight="1">
      <c r="A7" s="115" t="inlineStr">
        <is>
          <t>PO-2025-1006</t>
        </is>
      </c>
      <c r="B7" s="71" t="inlineStr">
        <is>
          <t>EVT-2025-002</t>
        </is>
      </c>
      <c r="C7" s="70" t="inlineStr">
        <is>
          <t>PrintMed Solutions</t>
        </is>
      </c>
      <c r="D7" s="70" t="inlineStr">
        <is>
          <t>Print &amp; Production</t>
        </is>
      </c>
      <c r="E7" s="157" t="n">
        <v>45576</v>
      </c>
      <c r="F7" s="157" t="n">
        <v>45582</v>
      </c>
      <c r="G7" s="91">
        <f>F7-E7</f>
        <v/>
      </c>
      <c r="H7" s="73" t="n">
        <v>48646.86</v>
      </c>
      <c r="I7" s="71" t="inlineStr">
        <is>
          <t>EUR</t>
        </is>
      </c>
      <c r="J7" s="71" t="inlineStr">
        <is>
          <t>CC-5877</t>
        </is>
      </c>
      <c r="K7" s="71" t="inlineStr">
        <is>
          <t>GL-6330</t>
        </is>
      </c>
      <c r="L7" s="96" t="inlineStr">
        <is>
          <t>Draft</t>
        </is>
      </c>
      <c r="M7" s="71" t="inlineStr">
        <is>
          <t>INV-01006</t>
        </is>
      </c>
      <c r="N7" s="93" t="inlineStr">
        <is>
          <t>Overdue</t>
        </is>
      </c>
      <c r="O7" s="157" t="n">
        <v>45653</v>
      </c>
      <c r="P7" s="94" t="n">
        <v>544</v>
      </c>
      <c r="Q7" s="70" t="inlineStr">
        <is>
          <t>Carlos Navarro</t>
        </is>
      </c>
      <c r="R7" s="70" t="inlineStr">
        <is>
          <t>Isabel Ferreira</t>
        </is>
      </c>
      <c r="S7" s="70" t="inlineStr"/>
    </row>
    <row r="8" ht="18" customHeight="1">
      <c r="A8" s="114" t="inlineStr">
        <is>
          <t>PO-2025-1007</t>
        </is>
      </c>
      <c r="B8" s="85" t="inlineStr">
        <is>
          <t>EVT-2025-002</t>
        </is>
      </c>
      <c r="C8" s="86" t="inlineStr">
        <is>
          <t>HealthMarketing Group</t>
        </is>
      </c>
      <c r="D8" s="86" t="inlineStr">
        <is>
          <t>Marketing Agency</t>
        </is>
      </c>
      <c r="E8" s="164" t="n">
        <v>45593</v>
      </c>
      <c r="F8" s="164" t="n">
        <v>45597</v>
      </c>
      <c r="G8" s="90">
        <f>F8-E8</f>
        <v/>
      </c>
      <c r="H8" s="87" t="n">
        <v>19856.1</v>
      </c>
      <c r="I8" s="85" t="inlineStr">
        <is>
          <t>EUR</t>
        </is>
      </c>
      <c r="J8" s="85" t="inlineStr">
        <is>
          <t>CC-8193</t>
        </is>
      </c>
      <c r="K8" s="85" t="inlineStr">
        <is>
          <t>GL-6330</t>
        </is>
      </c>
      <c r="L8" s="96" t="inlineStr">
        <is>
          <t>Draft</t>
        </is>
      </c>
      <c r="M8" s="85" t="inlineStr"/>
      <c r="N8" s="93" t="inlineStr">
        <is>
          <t>Overdue</t>
        </is>
      </c>
      <c r="O8" s="164" t="n">
        <v>45645</v>
      </c>
      <c r="P8" s="94" t="n">
        <v>552</v>
      </c>
      <c r="Q8" s="86" t="inlineStr">
        <is>
          <t>James Wilson</t>
        </is>
      </c>
      <c r="R8" s="86" t="inlineStr">
        <is>
          <t>James Wilson</t>
        </is>
      </c>
      <c r="S8" s="86" t="inlineStr"/>
    </row>
    <row r="9" ht="18" customHeight="1">
      <c r="A9" s="115" t="inlineStr">
        <is>
          <t>PO-2025-1008</t>
        </is>
      </c>
      <c r="B9" s="71" t="inlineStr">
        <is>
          <t>EVT-2025-002</t>
        </is>
      </c>
      <c r="C9" s="70" t="inlineStr">
        <is>
          <t>Translingua Pro</t>
        </is>
      </c>
      <c r="D9" s="70" t="inlineStr">
        <is>
          <t>Translation &amp; Interpretation</t>
        </is>
      </c>
      <c r="E9" s="157" t="n">
        <v>45564</v>
      </c>
      <c r="F9" s="157" t="n">
        <v>45572</v>
      </c>
      <c r="G9" s="91">
        <f>F9-E9</f>
        <v/>
      </c>
      <c r="H9" s="73" t="n">
        <v>79966.64999999999</v>
      </c>
      <c r="I9" s="71" t="inlineStr">
        <is>
          <t>EUR</t>
        </is>
      </c>
      <c r="J9" s="71" t="inlineStr">
        <is>
          <t>CC-8015</t>
        </is>
      </c>
      <c r="K9" s="71" t="inlineStr">
        <is>
          <t>GL-6311</t>
        </is>
      </c>
      <c r="L9" s="116" t="inlineStr">
        <is>
          <t>Closed</t>
        </is>
      </c>
      <c r="M9" s="71" t="inlineStr">
        <is>
          <t>INV-01008</t>
        </is>
      </c>
      <c r="N9" s="93" t="inlineStr">
        <is>
          <t>Overdue</t>
        </is>
      </c>
      <c r="O9" s="157" t="n">
        <v>45645</v>
      </c>
      <c r="P9" s="94" t="n">
        <v>552</v>
      </c>
      <c r="Q9" s="70" t="inlineStr">
        <is>
          <t>Sophie Müller</t>
        </is>
      </c>
      <c r="R9" s="70" t="inlineStr">
        <is>
          <t>James Wilson</t>
        </is>
      </c>
      <c r="S9" s="70" t="inlineStr"/>
    </row>
    <row r="10" ht="18" customHeight="1">
      <c r="A10" s="114" t="inlineStr">
        <is>
          <t>PO-2025-1009</t>
        </is>
      </c>
      <c r="B10" s="85" t="inlineStr">
        <is>
          <t>EVT-2025-003</t>
        </is>
      </c>
      <c r="C10" s="86" t="inlineStr">
        <is>
          <t>Translingua Pro</t>
        </is>
      </c>
      <c r="D10" s="86" t="inlineStr">
        <is>
          <t>Translation &amp; Interpretation</t>
        </is>
      </c>
      <c r="E10" s="164" t="n">
        <v>45676</v>
      </c>
      <c r="F10" s="164" t="n">
        <v>45682</v>
      </c>
      <c r="G10" s="90">
        <f>F10-E10</f>
        <v/>
      </c>
      <c r="H10" s="87" t="n">
        <v>73453.67999999999</v>
      </c>
      <c r="I10" s="85" t="inlineStr">
        <is>
          <t>EUR</t>
        </is>
      </c>
      <c r="J10" s="85" t="inlineStr">
        <is>
          <t>CC-1972</t>
        </is>
      </c>
      <c r="K10" s="85" t="inlineStr">
        <is>
          <t>GL-6320</t>
        </is>
      </c>
      <c r="L10" s="69" t="inlineStr">
        <is>
          <t>Approved</t>
        </is>
      </c>
      <c r="M10" s="85" t="inlineStr">
        <is>
          <t>INV-01009</t>
        </is>
      </c>
      <c r="N10" s="69" t="inlineStr">
        <is>
          <t>Paid</t>
        </is>
      </c>
      <c r="O10" s="164" t="n">
        <v>45758</v>
      </c>
      <c r="P10" s="90" t="n">
        <v>0</v>
      </c>
      <c r="Q10" s="86" t="inlineStr">
        <is>
          <t>Lena Schneider</t>
        </is>
      </c>
      <c r="R10" s="86" t="inlineStr">
        <is>
          <t>Isabel Ferreira</t>
        </is>
      </c>
      <c r="S10" s="86" t="inlineStr"/>
    </row>
    <row r="11" ht="18" customHeight="1">
      <c r="A11" s="115" t="inlineStr">
        <is>
          <t>PO-2025-1010</t>
        </is>
      </c>
      <c r="B11" s="71" t="inlineStr">
        <is>
          <t>EVT-2025-003</t>
        </is>
      </c>
      <c r="C11" s="70" t="inlineStr">
        <is>
          <t>PrintMed Solutions</t>
        </is>
      </c>
      <c r="D11" s="70" t="inlineStr">
        <is>
          <t>Print &amp; Production</t>
        </is>
      </c>
      <c r="E11" s="157" t="n">
        <v>45680</v>
      </c>
      <c r="F11" s="157" t="n">
        <v>45685</v>
      </c>
      <c r="G11" s="91">
        <f>F11-E11</f>
        <v/>
      </c>
      <c r="H11" s="73" t="n">
        <v>77586.31</v>
      </c>
      <c r="I11" s="71" t="inlineStr">
        <is>
          <t>EUR</t>
        </is>
      </c>
      <c r="J11" s="71" t="inlineStr">
        <is>
          <t>CC-6302</t>
        </is>
      </c>
      <c r="K11" s="71" t="inlineStr">
        <is>
          <t>GL-6325</t>
        </is>
      </c>
      <c r="L11" s="69" t="inlineStr">
        <is>
          <t>Approved</t>
        </is>
      </c>
      <c r="M11" s="71" t="inlineStr">
        <is>
          <t>INV-01010</t>
        </is>
      </c>
      <c r="N11" s="95" t="inlineStr">
        <is>
          <t>Invoiced</t>
        </is>
      </c>
      <c r="O11" s="157" t="n">
        <v>45748</v>
      </c>
      <c r="P11" s="91" t="n">
        <v>0</v>
      </c>
      <c r="Q11" s="70" t="inlineStr">
        <is>
          <t>Isabel Ferreira</t>
        </is>
      </c>
      <c r="R11" s="70" t="inlineStr">
        <is>
          <t>David O'Brien</t>
        </is>
      </c>
      <c r="S11" s="70" t="inlineStr"/>
    </row>
    <row r="12" ht="18" customHeight="1">
      <c r="A12" s="114" t="inlineStr">
        <is>
          <t>PO-2025-1011</t>
        </is>
      </c>
      <c r="B12" s="85" t="inlineStr">
        <is>
          <t>EVT-2025-004</t>
        </is>
      </c>
      <c r="C12" s="86" t="inlineStr">
        <is>
          <t>TechEvent Systems</t>
        </is>
      </c>
      <c r="D12" s="86" t="inlineStr">
        <is>
          <t>Registration &amp; Tech</t>
        </is>
      </c>
      <c r="E12" s="164" t="n">
        <v>45731</v>
      </c>
      <c r="F12" s="164" t="n">
        <v>45735</v>
      </c>
      <c r="G12" s="90">
        <f>F12-E12</f>
        <v/>
      </c>
      <c r="H12" s="87" t="n">
        <v>34108.32</v>
      </c>
      <c r="I12" s="85" t="inlineStr">
        <is>
          <t>EUR</t>
        </is>
      </c>
      <c r="J12" s="85" t="inlineStr">
        <is>
          <t>CC-3221</t>
        </is>
      </c>
      <c r="K12" s="85" t="inlineStr">
        <is>
          <t>GL-6330</t>
        </is>
      </c>
      <c r="L12" s="88" t="inlineStr">
        <is>
          <t>Sent to Supplier</t>
        </is>
      </c>
      <c r="M12" s="85" t="inlineStr"/>
      <c r="N12" s="69" t="inlineStr">
        <is>
          <t>Paid</t>
        </is>
      </c>
      <c r="O12" s="164" t="n">
        <v>45778</v>
      </c>
      <c r="P12" s="90" t="n">
        <v>0</v>
      </c>
      <c r="Q12" s="86" t="inlineStr">
        <is>
          <t>Ana García</t>
        </is>
      </c>
      <c r="R12" s="86" t="inlineStr">
        <is>
          <t>Isabel Ferreira</t>
        </is>
      </c>
      <c r="S12" s="86" t="inlineStr"/>
    </row>
    <row r="13" ht="18" customHeight="1">
      <c r="A13" s="115" t="inlineStr">
        <is>
          <t>PO-2025-1012</t>
        </is>
      </c>
      <c r="B13" s="71" t="inlineStr">
        <is>
          <t>EVT-2025-005</t>
        </is>
      </c>
      <c r="C13" s="70" t="inlineStr">
        <is>
          <t>AVIAWORLD Travel</t>
        </is>
      </c>
      <c r="D13" s="70" t="inlineStr">
        <is>
          <t>Travel &amp; Air</t>
        </is>
      </c>
      <c r="E13" s="157" t="n">
        <v>45863</v>
      </c>
      <c r="F13" s="157" t="n">
        <v>45868</v>
      </c>
      <c r="G13" s="91">
        <f>F13-E13</f>
        <v/>
      </c>
      <c r="H13" s="73" t="n">
        <v>77674.41</v>
      </c>
      <c r="I13" s="71" t="inlineStr">
        <is>
          <t>EUR</t>
        </is>
      </c>
      <c r="J13" s="71" t="inlineStr">
        <is>
          <t>CC-3174</t>
        </is>
      </c>
      <c r="K13" s="71" t="inlineStr">
        <is>
          <t>GL-6311</t>
        </is>
      </c>
      <c r="L13" s="76" t="inlineStr">
        <is>
          <t>Pending Approval</t>
        </is>
      </c>
      <c r="M13" s="71" t="inlineStr">
        <is>
          <t>INV-01012</t>
        </is>
      </c>
      <c r="N13" s="96" t="inlineStr">
        <is>
          <t>Cancelled</t>
        </is>
      </c>
      <c r="O13" s="157" t="n">
        <v>45948</v>
      </c>
      <c r="P13" s="91" t="n">
        <v>0</v>
      </c>
      <c r="Q13" s="70" t="inlineStr">
        <is>
          <t>Thomas Dubois</t>
        </is>
      </c>
      <c r="R13" s="70" t="inlineStr">
        <is>
          <t>Lucas Dupont</t>
        </is>
      </c>
      <c r="S13" s="70" t="inlineStr"/>
    </row>
    <row r="14" ht="18" customHeight="1">
      <c r="A14" s="114" t="inlineStr">
        <is>
          <t>PO-2025-1013</t>
        </is>
      </c>
      <c r="B14" s="85" t="inlineStr">
        <is>
          <t>EVT-2025-005</t>
        </is>
      </c>
      <c r="C14" s="86" t="inlineStr">
        <is>
          <t>Translingua Pro</t>
        </is>
      </c>
      <c r="D14" s="86" t="inlineStr">
        <is>
          <t>Translation &amp; Interpretation</t>
        </is>
      </c>
      <c r="E14" s="164" t="n">
        <v>45864</v>
      </c>
      <c r="F14" s="164" t="n">
        <v>45870</v>
      </c>
      <c r="G14" s="90">
        <f>F14-E14</f>
        <v/>
      </c>
      <c r="H14" s="87" t="n">
        <v>44322.3</v>
      </c>
      <c r="I14" s="85" t="inlineStr">
        <is>
          <t>EUR</t>
        </is>
      </c>
      <c r="J14" s="85" t="inlineStr">
        <is>
          <t>CC-7434</t>
        </is>
      </c>
      <c r="K14" s="85" t="inlineStr">
        <is>
          <t>GL-6315</t>
        </is>
      </c>
      <c r="L14" s="76" t="inlineStr">
        <is>
          <t>Pending Approval</t>
        </is>
      </c>
      <c r="M14" s="85" t="inlineStr">
        <is>
          <t>INV-01013</t>
        </is>
      </c>
      <c r="N14" s="93" t="inlineStr">
        <is>
          <t>Overdue</t>
        </is>
      </c>
      <c r="O14" s="164" t="n">
        <v>45947</v>
      </c>
      <c r="P14" s="94" t="n">
        <v>250</v>
      </c>
      <c r="Q14" s="86" t="inlineStr">
        <is>
          <t>David O'Brien</t>
        </is>
      </c>
      <c r="R14" s="86" t="inlineStr">
        <is>
          <t>Maria Kowalski</t>
        </is>
      </c>
      <c r="S14" s="86" t="inlineStr"/>
    </row>
    <row r="15" ht="18" customHeight="1">
      <c r="A15" s="115" t="inlineStr">
        <is>
          <t>PO-2025-1014</t>
        </is>
      </c>
      <c r="B15" s="71" t="inlineStr">
        <is>
          <t>EVT-2025-005</t>
        </is>
      </c>
      <c r="C15" s="70" t="inlineStr">
        <is>
          <t>InterCongress PCO</t>
        </is>
      </c>
      <c r="D15" s="70" t="inlineStr">
        <is>
          <t>PCO / Event Agency</t>
        </is>
      </c>
      <c r="E15" s="157" t="n">
        <v>45899</v>
      </c>
      <c r="F15" s="157" t="n">
        <v>45908</v>
      </c>
      <c r="G15" s="91">
        <f>F15-E15</f>
        <v/>
      </c>
      <c r="H15" s="73" t="n">
        <v>40882.46</v>
      </c>
      <c r="I15" s="71" t="inlineStr">
        <is>
          <t>EUR</t>
        </is>
      </c>
      <c r="J15" s="71" t="inlineStr">
        <is>
          <t>CC-7146</t>
        </is>
      </c>
      <c r="K15" s="71" t="inlineStr">
        <is>
          <t>GL-6315</t>
        </is>
      </c>
      <c r="L15" s="96" t="inlineStr">
        <is>
          <t>Draft</t>
        </is>
      </c>
      <c r="M15" s="71" t="inlineStr">
        <is>
          <t>INV-01014</t>
        </is>
      </c>
      <c r="N15" s="88" t="inlineStr">
        <is>
          <t>Approved</t>
        </is>
      </c>
      <c r="O15" s="157" t="n">
        <v>45946</v>
      </c>
      <c r="P15" s="91" t="n">
        <v>0</v>
      </c>
      <c r="Q15" s="70" t="inlineStr">
        <is>
          <t>Maria Kowalski</t>
        </is>
      </c>
      <c r="R15" s="70" t="inlineStr">
        <is>
          <t>Marco Bianchi</t>
        </is>
      </c>
      <c r="S15" s="70" t="inlineStr"/>
    </row>
    <row r="16" ht="18" customHeight="1">
      <c r="A16" s="114" t="inlineStr">
        <is>
          <t>PO-2025-1015</t>
        </is>
      </c>
      <c r="B16" s="85" t="inlineStr">
        <is>
          <t>EVT-2025-005</t>
        </is>
      </c>
      <c r="C16" s="86" t="inlineStr">
        <is>
          <t>PharmaLogix</t>
        </is>
      </c>
      <c r="D16" s="86" t="inlineStr">
        <is>
          <t>Logistics &amp; Transport</t>
        </is>
      </c>
      <c r="E16" s="164" t="n">
        <v>45891</v>
      </c>
      <c r="F16" s="164" t="n">
        <v>45898</v>
      </c>
      <c r="G16" s="90">
        <f>F16-E16</f>
        <v/>
      </c>
      <c r="H16" s="87" t="n">
        <v>74358.48</v>
      </c>
      <c r="I16" s="85" t="inlineStr">
        <is>
          <t>EUR</t>
        </is>
      </c>
      <c r="J16" s="85" t="inlineStr">
        <is>
          <t>CC-7046</t>
        </is>
      </c>
      <c r="K16" s="85" t="inlineStr">
        <is>
          <t>GL-6315</t>
        </is>
      </c>
      <c r="L16" s="88" t="inlineStr">
        <is>
          <t>Sent to Supplier</t>
        </is>
      </c>
      <c r="M16" s="85" t="inlineStr">
        <is>
          <t>INV-01015</t>
        </is>
      </c>
      <c r="N16" s="69" t="inlineStr">
        <is>
          <t>Paid</t>
        </is>
      </c>
      <c r="O16" s="164" t="n">
        <v>45946</v>
      </c>
      <c r="P16" s="90" t="n">
        <v>0</v>
      </c>
      <c r="Q16" s="86" t="inlineStr">
        <is>
          <t>Lucas Dupont</t>
        </is>
      </c>
      <c r="R16" s="86" t="inlineStr">
        <is>
          <t>David O'Brien</t>
        </is>
      </c>
      <c r="S16" s="86" t="inlineStr"/>
    </row>
    <row r="17" ht="18" customHeight="1">
      <c r="A17" s="115" t="inlineStr">
        <is>
          <t>PO-2025-1016</t>
        </is>
      </c>
      <c r="B17" s="71" t="inlineStr">
        <is>
          <t>EVT-2025-005</t>
        </is>
      </c>
      <c r="C17" s="70" t="inlineStr">
        <is>
          <t>Catering Excellence</t>
        </is>
      </c>
      <c r="D17" s="70" t="inlineStr">
        <is>
          <t>F&amp;B / Catering</t>
        </is>
      </c>
      <c r="E17" s="157" t="n">
        <v>45923</v>
      </c>
      <c r="F17" s="157" t="n">
        <v>45927</v>
      </c>
      <c r="G17" s="91">
        <f>F17-E17</f>
        <v/>
      </c>
      <c r="H17" s="73" t="n">
        <v>51141.74</v>
      </c>
      <c r="I17" s="71" t="inlineStr">
        <is>
          <t>EUR</t>
        </is>
      </c>
      <c r="J17" s="71" t="inlineStr">
        <is>
          <t>CC-8511</t>
        </is>
      </c>
      <c r="K17" s="71" t="inlineStr">
        <is>
          <t>GL-6325</t>
        </is>
      </c>
      <c r="L17" s="93" t="inlineStr">
        <is>
          <t>Cancelled</t>
        </is>
      </c>
      <c r="M17" s="71" t="inlineStr"/>
      <c r="N17" s="95" t="inlineStr">
        <is>
          <t>Invoiced</t>
        </is>
      </c>
      <c r="O17" s="157" t="n">
        <v>45953</v>
      </c>
      <c r="P17" s="91" t="n">
        <v>0</v>
      </c>
      <c r="Q17" s="70" t="inlineStr">
        <is>
          <t>Thomas Dubois</t>
        </is>
      </c>
      <c r="R17" s="70" t="inlineStr">
        <is>
          <t>Lucas Dupont</t>
        </is>
      </c>
      <c r="S17" s="70" t="inlineStr"/>
    </row>
    <row r="18" ht="18" customHeight="1">
      <c r="A18" s="114" t="inlineStr">
        <is>
          <t>PO-2025-1017</t>
        </is>
      </c>
      <c r="B18" s="85" t="inlineStr">
        <is>
          <t>EVT-2025-006</t>
        </is>
      </c>
      <c r="C18" s="86" t="inlineStr">
        <is>
          <t>PrintMed Solutions</t>
        </is>
      </c>
      <c r="D18" s="86" t="inlineStr">
        <is>
          <t>Print &amp; Production</t>
        </is>
      </c>
      <c r="E18" s="164" t="n">
        <v>45714</v>
      </c>
      <c r="F18" s="164" t="n">
        <v>45718</v>
      </c>
      <c r="G18" s="90">
        <f>F18-E18</f>
        <v/>
      </c>
      <c r="H18" s="87" t="n">
        <v>19526.65</v>
      </c>
      <c r="I18" s="85" t="inlineStr">
        <is>
          <t>EUR</t>
        </is>
      </c>
      <c r="J18" s="85" t="inlineStr">
        <is>
          <t>CC-9756</t>
        </is>
      </c>
      <c r="K18" s="85" t="inlineStr">
        <is>
          <t>GL-6315</t>
        </is>
      </c>
      <c r="L18" s="76" t="inlineStr">
        <is>
          <t>Pending Approval</t>
        </is>
      </c>
      <c r="M18" s="85" t="inlineStr">
        <is>
          <t>INV-01017</t>
        </is>
      </c>
      <c r="N18" s="96" t="inlineStr">
        <is>
          <t>Pending</t>
        </is>
      </c>
      <c r="O18" s="164" t="n">
        <v>45798</v>
      </c>
      <c r="P18" s="90" t="n">
        <v>0</v>
      </c>
      <c r="Q18" s="86" t="inlineStr">
        <is>
          <t>Emma Johansson</t>
        </is>
      </c>
      <c r="R18" s="86" t="inlineStr">
        <is>
          <t>James Wilson</t>
        </is>
      </c>
      <c r="S18" s="86" t="inlineStr"/>
    </row>
    <row r="19" ht="18" customHeight="1">
      <c r="A19" s="115" t="inlineStr">
        <is>
          <t>PO-2025-1018</t>
        </is>
      </c>
      <c r="B19" s="71" t="inlineStr">
        <is>
          <t>EVT-2025-007</t>
        </is>
      </c>
      <c r="C19" s="70" t="inlineStr">
        <is>
          <t>Translingua Pro</t>
        </is>
      </c>
      <c r="D19" s="70" t="inlineStr">
        <is>
          <t>Translation &amp; Interpretation</t>
        </is>
      </c>
      <c r="E19" s="157" t="n">
        <v>45628</v>
      </c>
      <c r="F19" s="157" t="n">
        <v>45635</v>
      </c>
      <c r="G19" s="91">
        <f>F19-E19</f>
        <v/>
      </c>
      <c r="H19" s="73" t="n">
        <v>57022.11</v>
      </c>
      <c r="I19" s="71" t="inlineStr">
        <is>
          <t>EUR</t>
        </is>
      </c>
      <c r="J19" s="71" t="inlineStr">
        <is>
          <t>CC-6289</t>
        </is>
      </c>
      <c r="K19" s="71" t="inlineStr">
        <is>
          <t>GL-6330</t>
        </is>
      </c>
      <c r="L19" s="69" t="inlineStr">
        <is>
          <t>Approved</t>
        </is>
      </c>
      <c r="M19" s="71" t="inlineStr"/>
      <c r="N19" s="69" t="inlineStr">
        <is>
          <t>Paid</t>
        </is>
      </c>
      <c r="O19" s="157" t="n">
        <v>45689</v>
      </c>
      <c r="P19" s="91" t="n">
        <v>0</v>
      </c>
      <c r="Q19" s="70" t="inlineStr">
        <is>
          <t>Lucas Dupont</t>
        </is>
      </c>
      <c r="R19" s="70" t="inlineStr">
        <is>
          <t>Lena Schneider</t>
        </is>
      </c>
      <c r="S19" s="70" t="inlineStr"/>
    </row>
    <row r="20" ht="18" customHeight="1">
      <c r="A20" s="114" t="inlineStr">
        <is>
          <t>PO-2025-1019</t>
        </is>
      </c>
      <c r="B20" s="85" t="inlineStr">
        <is>
          <t>EVT-2025-007</t>
        </is>
      </c>
      <c r="C20" s="86" t="inlineStr">
        <is>
          <t>KOL Connect</t>
        </is>
      </c>
      <c r="D20" s="86" t="inlineStr">
        <is>
          <t>Speaker Management</t>
        </is>
      </c>
      <c r="E20" s="164" t="n">
        <v>45630</v>
      </c>
      <c r="F20" s="164" t="n">
        <v>45635</v>
      </c>
      <c r="G20" s="90">
        <f>F20-E20</f>
        <v/>
      </c>
      <c r="H20" s="87" t="n">
        <v>13282.07</v>
      </c>
      <c r="I20" s="85" t="inlineStr">
        <is>
          <t>EUR</t>
        </is>
      </c>
      <c r="J20" s="85" t="inlineStr">
        <is>
          <t>CC-8951</t>
        </is>
      </c>
      <c r="K20" s="85" t="inlineStr">
        <is>
          <t>GL-6330</t>
        </is>
      </c>
      <c r="L20" s="69" t="inlineStr">
        <is>
          <t>Approved</t>
        </is>
      </c>
      <c r="M20" s="85" t="inlineStr">
        <is>
          <t>INV-01019</t>
        </is>
      </c>
      <c r="N20" s="93" t="inlineStr">
        <is>
          <t>Overdue</t>
        </is>
      </c>
      <c r="O20" s="164" t="n">
        <v>45696</v>
      </c>
      <c r="P20" s="94" t="n">
        <v>501</v>
      </c>
      <c r="Q20" s="86" t="inlineStr">
        <is>
          <t>Maria Kowalski</t>
        </is>
      </c>
      <c r="R20" s="86" t="inlineStr">
        <is>
          <t>Ana García</t>
        </is>
      </c>
      <c r="S20" s="86" t="inlineStr"/>
    </row>
    <row r="21" ht="18" customHeight="1">
      <c r="A21" s="115" t="inlineStr">
        <is>
          <t>PO-2025-1020</t>
        </is>
      </c>
      <c r="B21" s="71" t="inlineStr">
        <is>
          <t>EVT-2025-008</t>
        </is>
      </c>
      <c r="C21" s="70" t="inlineStr">
        <is>
          <t>TechEvent Systems</t>
        </is>
      </c>
      <c r="D21" s="70" t="inlineStr">
        <is>
          <t>Registration &amp; Tech</t>
        </is>
      </c>
      <c r="E21" s="157" t="n">
        <v>45949</v>
      </c>
      <c r="F21" s="157" t="n">
        <v>45953</v>
      </c>
      <c r="G21" s="91">
        <f>F21-E21</f>
        <v/>
      </c>
      <c r="H21" s="73" t="n">
        <v>63620.48</v>
      </c>
      <c r="I21" s="71" t="inlineStr">
        <is>
          <t>EUR</t>
        </is>
      </c>
      <c r="J21" s="71" t="inlineStr">
        <is>
          <t>CC-8529</t>
        </is>
      </c>
      <c r="K21" s="71" t="inlineStr">
        <is>
          <t>GL-6310</t>
        </is>
      </c>
      <c r="L21" s="96" t="inlineStr">
        <is>
          <t>Draft</t>
        </is>
      </c>
      <c r="M21" s="71" t="inlineStr"/>
      <c r="N21" s="96" t="inlineStr">
        <is>
          <t>Cancelled</t>
        </is>
      </c>
      <c r="O21" s="157" t="n">
        <v>45981</v>
      </c>
      <c r="P21" s="91" t="n">
        <v>0</v>
      </c>
      <c r="Q21" s="70" t="inlineStr">
        <is>
          <t>Sophie Müller</t>
        </is>
      </c>
      <c r="R21" s="70" t="inlineStr">
        <is>
          <t>Carlos Navarro</t>
        </is>
      </c>
      <c r="S21" s="70" t="inlineStr"/>
    </row>
    <row r="22" ht="18" customHeight="1">
      <c r="A22" s="114" t="inlineStr">
        <is>
          <t>PO-2025-1021</t>
        </is>
      </c>
      <c r="B22" s="85" t="inlineStr">
        <is>
          <t>EVT-2025-008</t>
        </is>
      </c>
      <c r="C22" s="86" t="inlineStr">
        <is>
          <t>InterCongress PCO</t>
        </is>
      </c>
      <c r="D22" s="86" t="inlineStr">
        <is>
          <t>PCO / Event Agency</t>
        </is>
      </c>
      <c r="E22" s="164" t="n">
        <v>45912</v>
      </c>
      <c r="F22" s="164" t="n">
        <v>45915</v>
      </c>
      <c r="G22" s="90">
        <f>F22-E22</f>
        <v/>
      </c>
      <c r="H22" s="87" t="n">
        <v>2200.09</v>
      </c>
      <c r="I22" s="85" t="inlineStr">
        <is>
          <t>EUR</t>
        </is>
      </c>
      <c r="J22" s="85" t="inlineStr">
        <is>
          <t>CC-8009</t>
        </is>
      </c>
      <c r="K22" s="85" t="inlineStr">
        <is>
          <t>GL-6311</t>
        </is>
      </c>
      <c r="L22" s="93" t="inlineStr">
        <is>
          <t>Cancelled</t>
        </is>
      </c>
      <c r="M22" s="85" t="inlineStr"/>
      <c r="N22" s="93" t="inlineStr">
        <is>
          <t>Overdue</t>
        </is>
      </c>
      <c r="O22" s="164" t="n">
        <v>45971</v>
      </c>
      <c r="P22" s="94" t="n">
        <v>226</v>
      </c>
      <c r="Q22" s="86" t="inlineStr">
        <is>
          <t>Sophie Müller</t>
        </is>
      </c>
      <c r="R22" s="86" t="inlineStr">
        <is>
          <t>Maria Kowalski</t>
        </is>
      </c>
      <c r="S22" s="86" t="inlineStr"/>
    </row>
    <row r="23" ht="18" customHeight="1">
      <c r="A23" s="115" t="inlineStr">
        <is>
          <t>PO-2025-1022</t>
        </is>
      </c>
      <c r="B23" s="71" t="inlineStr">
        <is>
          <t>EVT-2025-009</t>
        </is>
      </c>
      <c r="C23" s="70" t="inlineStr">
        <is>
          <t>TechEvent Systems</t>
        </is>
      </c>
      <c r="D23" s="70" t="inlineStr">
        <is>
          <t>Registration &amp; Tech</t>
        </is>
      </c>
      <c r="E23" s="157" t="n">
        <v>45821</v>
      </c>
      <c r="F23" s="157" t="n">
        <v>45826</v>
      </c>
      <c r="G23" s="91">
        <f>F23-E23</f>
        <v/>
      </c>
      <c r="H23" s="73" t="n">
        <v>27930.32</v>
      </c>
      <c r="I23" s="71" t="inlineStr">
        <is>
          <t>EUR</t>
        </is>
      </c>
      <c r="J23" s="71" t="inlineStr">
        <is>
          <t>CC-5489</t>
        </is>
      </c>
      <c r="K23" s="71" t="inlineStr">
        <is>
          <t>GL-6310</t>
        </is>
      </c>
      <c r="L23" s="93" t="inlineStr">
        <is>
          <t>Cancelled</t>
        </is>
      </c>
      <c r="M23" s="71" t="inlineStr">
        <is>
          <t>INV-01022</t>
        </is>
      </c>
      <c r="N23" s="95" t="inlineStr">
        <is>
          <t>Invoiced</t>
        </is>
      </c>
      <c r="O23" s="157" t="n">
        <v>45870</v>
      </c>
      <c r="P23" s="91" t="n">
        <v>0</v>
      </c>
      <c r="Q23" s="70" t="inlineStr">
        <is>
          <t>Lucas Dupont</t>
        </is>
      </c>
      <c r="R23" s="70" t="inlineStr">
        <is>
          <t>Isabel Ferreira</t>
        </is>
      </c>
      <c r="S23" s="70" t="inlineStr"/>
    </row>
    <row r="24" ht="18" customHeight="1">
      <c r="A24" s="114" t="inlineStr">
        <is>
          <t>PO-2025-1023</t>
        </is>
      </c>
      <c r="B24" s="85" t="inlineStr">
        <is>
          <t>EVT-2025-009</t>
        </is>
      </c>
      <c r="C24" s="86" t="inlineStr">
        <is>
          <t>MedAudio AV Solutions</t>
        </is>
      </c>
      <c r="D24" s="86" t="inlineStr">
        <is>
          <t>AV &amp; Technology</t>
        </is>
      </c>
      <c r="E24" s="164" t="n">
        <v>45834</v>
      </c>
      <c r="F24" s="164" t="n">
        <v>45842</v>
      </c>
      <c r="G24" s="90">
        <f>F24-E24</f>
        <v/>
      </c>
      <c r="H24" s="87" t="n">
        <v>56404.88</v>
      </c>
      <c r="I24" s="85" t="inlineStr">
        <is>
          <t>EUR</t>
        </is>
      </c>
      <c r="J24" s="85" t="inlineStr">
        <is>
          <t>CC-3711</t>
        </is>
      </c>
      <c r="K24" s="85" t="inlineStr">
        <is>
          <t>GL-6310</t>
        </is>
      </c>
      <c r="L24" s="88" t="inlineStr">
        <is>
          <t>Sent to Supplier</t>
        </is>
      </c>
      <c r="M24" s="85" t="inlineStr"/>
      <c r="N24" s="96" t="inlineStr">
        <is>
          <t>Cancelled</t>
        </is>
      </c>
      <c r="O24" s="164" t="n">
        <v>45869</v>
      </c>
      <c r="P24" s="90" t="n">
        <v>0</v>
      </c>
      <c r="Q24" s="86" t="inlineStr">
        <is>
          <t>Maria Kowalski</t>
        </is>
      </c>
      <c r="R24" s="86" t="inlineStr">
        <is>
          <t>Isabel Ferreira</t>
        </is>
      </c>
      <c r="S24" s="86" t="inlineStr"/>
    </row>
    <row r="25" ht="18" customHeight="1">
      <c r="A25" s="115" t="inlineStr">
        <is>
          <t>PO-2025-1024</t>
        </is>
      </c>
      <c r="B25" s="71" t="inlineStr">
        <is>
          <t>EVT-2025-009</t>
        </is>
      </c>
      <c r="C25" s="70" t="inlineStr">
        <is>
          <t>Translingua Pro</t>
        </is>
      </c>
      <c r="D25" s="70" t="inlineStr">
        <is>
          <t>Translation &amp; Interpretation</t>
        </is>
      </c>
      <c r="E25" s="157" t="n">
        <v>45796</v>
      </c>
      <c r="F25" s="157" t="n">
        <v>45802</v>
      </c>
      <c r="G25" s="91">
        <f>F25-E25</f>
        <v/>
      </c>
      <c r="H25" s="73" t="n">
        <v>26817.75</v>
      </c>
      <c r="I25" s="71" t="inlineStr">
        <is>
          <t>EUR</t>
        </is>
      </c>
      <c r="J25" s="71" t="inlineStr">
        <is>
          <t>CC-8032</t>
        </is>
      </c>
      <c r="K25" s="71" t="inlineStr">
        <is>
          <t>GL-6325</t>
        </is>
      </c>
      <c r="L25" s="96" t="inlineStr">
        <is>
          <t>Draft</t>
        </is>
      </c>
      <c r="M25" s="71" t="inlineStr">
        <is>
          <t>INV-01024</t>
        </is>
      </c>
      <c r="N25" s="96" t="inlineStr">
        <is>
          <t>Cancelled</t>
        </is>
      </c>
      <c r="O25" s="157" t="n">
        <v>45872</v>
      </c>
      <c r="P25" s="91" t="n">
        <v>0</v>
      </c>
      <c r="Q25" s="70" t="inlineStr">
        <is>
          <t>Thomas Dubois</t>
        </is>
      </c>
      <c r="R25" s="70" t="inlineStr">
        <is>
          <t>Marco Bianchi</t>
        </is>
      </c>
      <c r="S25" s="70" t="inlineStr"/>
    </row>
    <row r="26" ht="18" customHeight="1">
      <c r="A26" s="114" t="inlineStr">
        <is>
          <t>PO-2025-1025</t>
        </is>
      </c>
      <c r="B26" s="85" t="inlineStr">
        <is>
          <t>EVT-2025-009</t>
        </is>
      </c>
      <c r="C26" s="86" t="inlineStr">
        <is>
          <t>PrintMed Solutions</t>
        </is>
      </c>
      <c r="D26" s="86" t="inlineStr">
        <is>
          <t>Print &amp; Production</t>
        </is>
      </c>
      <c r="E26" s="164" t="n">
        <v>45837</v>
      </c>
      <c r="F26" s="164" t="n">
        <v>45843</v>
      </c>
      <c r="G26" s="90">
        <f>F26-E26</f>
        <v/>
      </c>
      <c r="H26" s="87" t="n">
        <v>53767.73</v>
      </c>
      <c r="I26" s="85" t="inlineStr">
        <is>
          <t>EUR</t>
        </is>
      </c>
      <c r="J26" s="85" t="inlineStr">
        <is>
          <t>CC-8812</t>
        </is>
      </c>
      <c r="K26" s="85" t="inlineStr">
        <is>
          <t>GL-6310</t>
        </is>
      </c>
      <c r="L26" s="76" t="inlineStr">
        <is>
          <t>Pending Approval</t>
        </is>
      </c>
      <c r="M26" s="85" t="inlineStr">
        <is>
          <t>INV-01025</t>
        </is>
      </c>
      <c r="N26" s="69" t="inlineStr">
        <is>
          <t>Paid</t>
        </is>
      </c>
      <c r="O26" s="164" t="n">
        <v>45867</v>
      </c>
      <c r="P26" s="90" t="n">
        <v>0</v>
      </c>
      <c r="Q26" s="86" t="inlineStr">
        <is>
          <t>David O'Brien</t>
        </is>
      </c>
      <c r="R26" s="86" t="inlineStr">
        <is>
          <t>James Wilson</t>
        </is>
      </c>
      <c r="S26" s="86" t="inlineStr"/>
    </row>
    <row r="27" ht="18" customHeight="1">
      <c r="A27" s="115" t="inlineStr">
        <is>
          <t>PO-2025-1026</t>
        </is>
      </c>
      <c r="B27" s="71" t="inlineStr">
        <is>
          <t>EVT-2025-010</t>
        </is>
      </c>
      <c r="C27" s="70" t="inlineStr">
        <is>
          <t>PrintMed Solutions</t>
        </is>
      </c>
      <c r="D27" s="70" t="inlineStr">
        <is>
          <t>Print &amp; Production</t>
        </is>
      </c>
      <c r="E27" s="157" t="n">
        <v>45691</v>
      </c>
      <c r="F27" s="157" t="n">
        <v>45701</v>
      </c>
      <c r="G27" s="91">
        <f>F27-E27</f>
        <v/>
      </c>
      <c r="H27" s="73" t="n">
        <v>9828.440000000001</v>
      </c>
      <c r="I27" s="71" t="inlineStr">
        <is>
          <t>EUR</t>
        </is>
      </c>
      <c r="J27" s="71" t="inlineStr">
        <is>
          <t>CC-1152</t>
        </is>
      </c>
      <c r="K27" s="71" t="inlineStr">
        <is>
          <t>GL-6310</t>
        </is>
      </c>
      <c r="L27" s="93" t="inlineStr">
        <is>
          <t>Cancelled</t>
        </is>
      </c>
      <c r="M27" s="71" t="inlineStr">
        <is>
          <t>INV-01026</t>
        </is>
      </c>
      <c r="N27" s="69" t="inlineStr">
        <is>
          <t>Paid</t>
        </is>
      </c>
      <c r="O27" s="157" t="n">
        <v>45754</v>
      </c>
      <c r="P27" s="91" t="n">
        <v>0</v>
      </c>
      <c r="Q27" s="70" t="inlineStr">
        <is>
          <t>Lucas Dupont</t>
        </is>
      </c>
      <c r="R27" s="70" t="inlineStr">
        <is>
          <t>Marco Bianchi</t>
        </is>
      </c>
      <c r="S27" s="70" t="inlineStr"/>
    </row>
    <row r="28" ht="18" customHeight="1">
      <c r="A28" s="114" t="inlineStr">
        <is>
          <t>PO-2025-1027</t>
        </is>
      </c>
      <c r="B28" s="85" t="inlineStr">
        <is>
          <t>EVT-2025-010</t>
        </is>
      </c>
      <c r="C28" s="86" t="inlineStr">
        <is>
          <t>DigitalPharma Studio</t>
        </is>
      </c>
      <c r="D28" s="86" t="inlineStr">
        <is>
          <t>Digital &amp; Web</t>
        </is>
      </c>
      <c r="E28" s="164" t="n">
        <v>45663</v>
      </c>
      <c r="F28" s="164" t="n">
        <v>45672</v>
      </c>
      <c r="G28" s="90">
        <f>F28-E28</f>
        <v/>
      </c>
      <c r="H28" s="87" t="n">
        <v>33978.33</v>
      </c>
      <c r="I28" s="85" t="inlineStr">
        <is>
          <t>EUR</t>
        </is>
      </c>
      <c r="J28" s="85" t="inlineStr">
        <is>
          <t>CC-3165</t>
        </is>
      </c>
      <c r="K28" s="85" t="inlineStr">
        <is>
          <t>GL-6315</t>
        </is>
      </c>
      <c r="L28" s="96" t="inlineStr">
        <is>
          <t>Draft</t>
        </is>
      </c>
      <c r="M28" s="85" t="inlineStr">
        <is>
          <t>INV-01027</t>
        </is>
      </c>
      <c r="N28" s="96" t="inlineStr">
        <is>
          <t>Pending</t>
        </is>
      </c>
      <c r="O28" s="164" t="n">
        <v>45748</v>
      </c>
      <c r="P28" s="90" t="n">
        <v>0</v>
      </c>
      <c r="Q28" s="86" t="inlineStr">
        <is>
          <t>James Wilson</t>
        </is>
      </c>
      <c r="R28" s="86" t="inlineStr">
        <is>
          <t>Emma Johansson</t>
        </is>
      </c>
      <c r="S28" s="86" t="inlineStr"/>
    </row>
    <row r="29" ht="18" customHeight="1">
      <c r="A29" s="115" t="inlineStr">
        <is>
          <t>PO-2025-1028</t>
        </is>
      </c>
      <c r="B29" s="71" t="inlineStr">
        <is>
          <t>EVT-2025-011</t>
        </is>
      </c>
      <c r="C29" s="70" t="inlineStr">
        <is>
          <t>PharmaLogix</t>
        </is>
      </c>
      <c r="D29" s="70" t="inlineStr">
        <is>
          <t>Logistics &amp; Transport</t>
        </is>
      </c>
      <c r="E29" s="157" t="n">
        <v>45941</v>
      </c>
      <c r="F29" s="157" t="n">
        <v>45945</v>
      </c>
      <c r="G29" s="91">
        <f>F29-E29</f>
        <v/>
      </c>
      <c r="H29" s="73" t="n">
        <v>8264.6</v>
      </c>
      <c r="I29" s="71" t="inlineStr">
        <is>
          <t>EUR</t>
        </is>
      </c>
      <c r="J29" s="71" t="inlineStr">
        <is>
          <t>CC-2690</t>
        </is>
      </c>
      <c r="K29" s="71" t="inlineStr">
        <is>
          <t>GL-6312</t>
        </is>
      </c>
      <c r="L29" s="69" t="inlineStr">
        <is>
          <t>Approved</t>
        </is>
      </c>
      <c r="M29" s="71" t="inlineStr">
        <is>
          <t>INV-01028</t>
        </is>
      </c>
      <c r="N29" s="96" t="inlineStr">
        <is>
          <t>Cancelled</t>
        </is>
      </c>
      <c r="O29" s="157" t="n">
        <v>45976</v>
      </c>
      <c r="P29" s="91" t="n">
        <v>0</v>
      </c>
      <c r="Q29" s="70" t="inlineStr">
        <is>
          <t>Isabel Ferreira</t>
        </is>
      </c>
      <c r="R29" s="70" t="inlineStr">
        <is>
          <t>Sophie Müller</t>
        </is>
      </c>
      <c r="S29" s="70" t="inlineStr"/>
    </row>
    <row r="30" ht="18" customHeight="1">
      <c r="A30" s="114" t="inlineStr">
        <is>
          <t>PO-2025-1029</t>
        </is>
      </c>
      <c r="B30" s="85" t="inlineStr">
        <is>
          <t>EVT-2025-011</t>
        </is>
      </c>
      <c r="C30" s="86" t="inlineStr">
        <is>
          <t>DigitalPharma Studio</t>
        </is>
      </c>
      <c r="D30" s="86" t="inlineStr">
        <is>
          <t>Digital &amp; Web</t>
        </is>
      </c>
      <c r="E30" s="164" t="n">
        <v>45910</v>
      </c>
      <c r="F30" s="164" t="n">
        <v>45915</v>
      </c>
      <c r="G30" s="90">
        <f>F30-E30</f>
        <v/>
      </c>
      <c r="H30" s="87" t="n">
        <v>26699.57</v>
      </c>
      <c r="I30" s="85" t="inlineStr">
        <is>
          <t>EUR</t>
        </is>
      </c>
      <c r="J30" s="85" t="inlineStr">
        <is>
          <t>CC-3340</t>
        </is>
      </c>
      <c r="K30" s="85" t="inlineStr">
        <is>
          <t>GL-6310</t>
        </is>
      </c>
      <c r="L30" s="116" t="inlineStr">
        <is>
          <t>Closed</t>
        </is>
      </c>
      <c r="M30" s="85" t="inlineStr">
        <is>
          <t>INV-01029</t>
        </is>
      </c>
      <c r="N30" s="69" t="inlineStr">
        <is>
          <t>Paid</t>
        </is>
      </c>
      <c r="O30" s="164" t="n">
        <v>45964</v>
      </c>
      <c r="P30" s="90" t="n">
        <v>0</v>
      </c>
      <c r="Q30" s="86" t="inlineStr">
        <is>
          <t>David O'Brien</t>
        </is>
      </c>
      <c r="R30" s="86" t="inlineStr">
        <is>
          <t>Ana García</t>
        </is>
      </c>
      <c r="S30" s="86" t="inlineStr"/>
    </row>
    <row r="31" ht="18" customHeight="1">
      <c r="A31" s="115" t="inlineStr">
        <is>
          <t>PO-2025-1030</t>
        </is>
      </c>
      <c r="B31" s="71" t="inlineStr">
        <is>
          <t>EVT-2025-011</t>
        </is>
      </c>
      <c r="C31" s="70" t="inlineStr">
        <is>
          <t>KOL Connect</t>
        </is>
      </c>
      <c r="D31" s="70" t="inlineStr">
        <is>
          <t>Speaker Management</t>
        </is>
      </c>
      <c r="E31" s="157" t="n">
        <v>45910</v>
      </c>
      <c r="F31" s="157" t="n">
        <v>45915</v>
      </c>
      <c r="G31" s="91">
        <f>F31-E31</f>
        <v/>
      </c>
      <c r="H31" s="73" t="n">
        <v>50161.84</v>
      </c>
      <c r="I31" s="71" t="inlineStr">
        <is>
          <t>EUR</t>
        </is>
      </c>
      <c r="J31" s="71" t="inlineStr">
        <is>
          <t>CC-8210</t>
        </is>
      </c>
      <c r="K31" s="71" t="inlineStr">
        <is>
          <t>GL-6312</t>
        </is>
      </c>
      <c r="L31" s="93" t="inlineStr">
        <is>
          <t>Cancelled</t>
        </is>
      </c>
      <c r="M31" s="71" t="inlineStr">
        <is>
          <t>INV-01030</t>
        </is>
      </c>
      <c r="N31" s="95" t="inlineStr">
        <is>
          <t>Invoiced</t>
        </is>
      </c>
      <c r="O31" s="157" t="n">
        <v>45979</v>
      </c>
      <c r="P31" s="91" t="n">
        <v>0</v>
      </c>
      <c r="Q31" s="70" t="inlineStr">
        <is>
          <t>James Wilson</t>
        </is>
      </c>
      <c r="R31" s="70" t="inlineStr">
        <is>
          <t>Maria Kowalski</t>
        </is>
      </c>
      <c r="S31" s="70" t="inlineStr"/>
    </row>
    <row r="32" ht="18" customHeight="1">
      <c r="A32" s="114" t="inlineStr">
        <is>
          <t>PO-2025-1031</t>
        </is>
      </c>
      <c r="B32" s="85" t="inlineStr">
        <is>
          <t>EVT-2025-012</t>
        </is>
      </c>
      <c r="C32" s="86" t="inlineStr">
        <is>
          <t>MedComm Agency</t>
        </is>
      </c>
      <c r="D32" s="86" t="inlineStr">
        <is>
          <t>Medical Communication</t>
        </is>
      </c>
      <c r="E32" s="164" t="n">
        <v>45827</v>
      </c>
      <c r="F32" s="164" t="n">
        <v>45832</v>
      </c>
      <c r="G32" s="90">
        <f>F32-E32</f>
        <v/>
      </c>
      <c r="H32" s="87" t="n">
        <v>61308.84</v>
      </c>
      <c r="I32" s="85" t="inlineStr">
        <is>
          <t>EUR</t>
        </is>
      </c>
      <c r="J32" s="85" t="inlineStr">
        <is>
          <t>CC-7745</t>
        </is>
      </c>
      <c r="K32" s="85" t="inlineStr">
        <is>
          <t>GL-6320</t>
        </is>
      </c>
      <c r="L32" s="93" t="inlineStr">
        <is>
          <t>Cancelled</t>
        </is>
      </c>
      <c r="M32" s="85" t="inlineStr">
        <is>
          <t>INV-01031</t>
        </is>
      </c>
      <c r="N32" s="69" t="inlineStr">
        <is>
          <t>Paid</t>
        </is>
      </c>
      <c r="O32" s="164" t="n">
        <v>45904</v>
      </c>
      <c r="P32" s="90" t="n">
        <v>0</v>
      </c>
      <c r="Q32" s="86" t="inlineStr">
        <is>
          <t>Carlos Navarro</t>
        </is>
      </c>
      <c r="R32" s="86" t="inlineStr">
        <is>
          <t>James Wilson</t>
        </is>
      </c>
      <c r="S32" s="86" t="inlineStr"/>
    </row>
    <row r="33" ht="18" customHeight="1">
      <c r="A33" s="115" t="inlineStr">
        <is>
          <t>PO-2025-1032</t>
        </is>
      </c>
      <c r="B33" s="71" t="inlineStr">
        <is>
          <t>EVT-2025-013</t>
        </is>
      </c>
      <c r="C33" s="70" t="inlineStr">
        <is>
          <t>HealthMarketing Group</t>
        </is>
      </c>
      <c r="D33" s="70" t="inlineStr">
        <is>
          <t>Marketing Agency</t>
        </is>
      </c>
      <c r="E33" s="157" t="n">
        <v>45865</v>
      </c>
      <c r="F33" s="157" t="n">
        <v>45869</v>
      </c>
      <c r="G33" s="91">
        <f>F33-E33</f>
        <v/>
      </c>
      <c r="H33" s="73" t="n">
        <v>6377.3</v>
      </c>
      <c r="I33" s="71" t="inlineStr">
        <is>
          <t>EUR</t>
        </is>
      </c>
      <c r="J33" s="71" t="inlineStr">
        <is>
          <t>CC-3293</t>
        </is>
      </c>
      <c r="K33" s="71" t="inlineStr">
        <is>
          <t>GL-6330</t>
        </is>
      </c>
      <c r="L33" s="96" t="inlineStr">
        <is>
          <t>Draft</t>
        </is>
      </c>
      <c r="M33" s="71" t="inlineStr">
        <is>
          <t>INV-01032</t>
        </is>
      </c>
      <c r="N33" s="88" t="inlineStr">
        <is>
          <t>Approved</t>
        </is>
      </c>
      <c r="O33" s="157" t="n">
        <v>45900</v>
      </c>
      <c r="P33" s="91" t="n">
        <v>0</v>
      </c>
      <c r="Q33" s="70" t="inlineStr">
        <is>
          <t>David O'Brien</t>
        </is>
      </c>
      <c r="R33" s="70" t="inlineStr">
        <is>
          <t>Thomas Dubois</t>
        </is>
      </c>
      <c r="S33" s="70" t="inlineStr"/>
    </row>
    <row r="34" ht="18" customHeight="1">
      <c r="A34" s="114" t="inlineStr">
        <is>
          <t>PO-2025-1033</t>
        </is>
      </c>
      <c r="B34" s="85" t="inlineStr">
        <is>
          <t>EVT-2025-013</t>
        </is>
      </c>
      <c r="C34" s="86" t="inlineStr">
        <is>
          <t>AVIAWORLD Travel</t>
        </is>
      </c>
      <c r="D34" s="86" t="inlineStr">
        <is>
          <t>Travel &amp; Air</t>
        </is>
      </c>
      <c r="E34" s="164" t="n">
        <v>45852</v>
      </c>
      <c r="F34" s="164" t="n">
        <v>45860</v>
      </c>
      <c r="G34" s="90">
        <f>F34-E34</f>
        <v/>
      </c>
      <c r="H34" s="87" t="n">
        <v>46142.39</v>
      </c>
      <c r="I34" s="85" t="inlineStr">
        <is>
          <t>EUR</t>
        </is>
      </c>
      <c r="J34" s="85" t="inlineStr">
        <is>
          <t>CC-8035</t>
        </is>
      </c>
      <c r="K34" s="85" t="inlineStr">
        <is>
          <t>GL-6312</t>
        </is>
      </c>
      <c r="L34" s="76" t="inlineStr">
        <is>
          <t>Pending Approval</t>
        </is>
      </c>
      <c r="M34" s="85" t="inlineStr">
        <is>
          <t>INV-01033</t>
        </is>
      </c>
      <c r="N34" s="96" t="inlineStr">
        <is>
          <t>Pending</t>
        </is>
      </c>
      <c r="O34" s="164" t="n">
        <v>45906</v>
      </c>
      <c r="P34" s="90" t="n">
        <v>0</v>
      </c>
      <c r="Q34" s="86" t="inlineStr">
        <is>
          <t>James Wilson</t>
        </is>
      </c>
      <c r="R34" s="86" t="inlineStr">
        <is>
          <t>Isabel Ferreira</t>
        </is>
      </c>
      <c r="S34" s="86" t="inlineStr"/>
    </row>
    <row r="35" ht="18" customHeight="1">
      <c r="A35" s="115" t="inlineStr">
        <is>
          <t>PO-2025-1034</t>
        </is>
      </c>
      <c r="B35" s="71" t="inlineStr">
        <is>
          <t>EVT-2025-013</t>
        </is>
      </c>
      <c r="C35" s="70" t="inlineStr">
        <is>
          <t>TechEvent Systems</t>
        </is>
      </c>
      <c r="D35" s="70" t="inlineStr">
        <is>
          <t>Registration &amp; Tech</t>
        </is>
      </c>
      <c r="E35" s="157" t="n">
        <v>45833</v>
      </c>
      <c r="F35" s="157" t="n">
        <v>45837</v>
      </c>
      <c r="G35" s="91">
        <f>F35-E35</f>
        <v/>
      </c>
      <c r="H35" s="73" t="n">
        <v>50337.41</v>
      </c>
      <c r="I35" s="71" t="inlineStr">
        <is>
          <t>EUR</t>
        </is>
      </c>
      <c r="J35" s="71" t="inlineStr">
        <is>
          <t>CC-5065</t>
        </is>
      </c>
      <c r="K35" s="71" t="inlineStr">
        <is>
          <t>GL-6320</t>
        </is>
      </c>
      <c r="L35" s="116" t="inlineStr">
        <is>
          <t>Closed</t>
        </is>
      </c>
      <c r="M35" s="71" t="inlineStr">
        <is>
          <t>INV-01034</t>
        </is>
      </c>
      <c r="N35" s="93" t="inlineStr">
        <is>
          <t>Overdue</t>
        </is>
      </c>
      <c r="O35" s="157" t="n">
        <v>45904</v>
      </c>
      <c r="P35" s="94" t="n">
        <v>293</v>
      </c>
      <c r="Q35" s="70" t="inlineStr">
        <is>
          <t>David O'Brien</t>
        </is>
      </c>
      <c r="R35" s="70" t="inlineStr">
        <is>
          <t>Thomas Dubois</t>
        </is>
      </c>
      <c r="S35" s="70" t="inlineStr"/>
    </row>
    <row r="36" ht="18" customHeight="1">
      <c r="A36" s="114" t="inlineStr">
        <is>
          <t>PO-2025-1035</t>
        </is>
      </c>
      <c r="B36" s="85" t="inlineStr">
        <is>
          <t>EVT-2025-014</t>
        </is>
      </c>
      <c r="C36" s="86" t="inlineStr">
        <is>
          <t>Translingua Pro</t>
        </is>
      </c>
      <c r="D36" s="86" t="inlineStr">
        <is>
          <t>Translation &amp; Interpretation</t>
        </is>
      </c>
      <c r="E36" s="164" t="n">
        <v>45888</v>
      </c>
      <c r="F36" s="164" t="n">
        <v>45895</v>
      </c>
      <c r="G36" s="90">
        <f>F36-E36</f>
        <v/>
      </c>
      <c r="H36" s="87" t="n">
        <v>21915.48</v>
      </c>
      <c r="I36" s="85" t="inlineStr">
        <is>
          <t>EUR</t>
        </is>
      </c>
      <c r="J36" s="85" t="inlineStr">
        <is>
          <t>CC-1439</t>
        </is>
      </c>
      <c r="K36" s="85" t="inlineStr">
        <is>
          <t>GL-6330</t>
        </is>
      </c>
      <c r="L36" s="93" t="inlineStr">
        <is>
          <t>Cancelled</t>
        </is>
      </c>
      <c r="M36" s="85" t="inlineStr"/>
      <c r="N36" s="69" t="inlineStr">
        <is>
          <t>Paid</t>
        </is>
      </c>
      <c r="O36" s="164" t="n">
        <v>45956</v>
      </c>
      <c r="P36" s="90" t="n">
        <v>0</v>
      </c>
      <c r="Q36" s="86" t="inlineStr">
        <is>
          <t>Isabel Ferreira</t>
        </is>
      </c>
      <c r="R36" s="86" t="inlineStr">
        <is>
          <t>James Wilson</t>
        </is>
      </c>
      <c r="S36" s="86" t="inlineStr"/>
    </row>
    <row r="37" ht="18" customHeight="1">
      <c r="A37" s="115" t="inlineStr">
        <is>
          <t>PO-2025-1036</t>
        </is>
      </c>
      <c r="B37" s="71" t="inlineStr">
        <is>
          <t>EVT-2025-014</t>
        </is>
      </c>
      <c r="C37" s="70" t="inlineStr">
        <is>
          <t>Compliance Expert Ltd</t>
        </is>
      </c>
      <c r="D37" s="70" t="inlineStr">
        <is>
          <t>Compliance &amp; Legal</t>
        </is>
      </c>
      <c r="E37" s="157" t="n">
        <v>45879</v>
      </c>
      <c r="F37" s="157" t="n">
        <v>45885</v>
      </c>
      <c r="G37" s="91">
        <f>F37-E37</f>
        <v/>
      </c>
      <c r="H37" s="73" t="n">
        <v>14322.1</v>
      </c>
      <c r="I37" s="71" t="inlineStr">
        <is>
          <t>EUR</t>
        </is>
      </c>
      <c r="J37" s="71" t="inlineStr">
        <is>
          <t>CC-7418</t>
        </is>
      </c>
      <c r="K37" s="71" t="inlineStr">
        <is>
          <t>GL-6312</t>
        </is>
      </c>
      <c r="L37" s="93" t="inlineStr">
        <is>
          <t>Cancelled</t>
        </is>
      </c>
      <c r="M37" s="71" t="inlineStr">
        <is>
          <t>INV-01036</t>
        </is>
      </c>
      <c r="N37" s="93" t="inlineStr">
        <is>
          <t>Overdue</t>
        </is>
      </c>
      <c r="O37" s="157" t="n">
        <v>45942</v>
      </c>
      <c r="P37" s="94" t="n">
        <v>255</v>
      </c>
      <c r="Q37" s="70" t="inlineStr">
        <is>
          <t>Ana García</t>
        </is>
      </c>
      <c r="R37" s="70" t="inlineStr">
        <is>
          <t>James Wilson</t>
        </is>
      </c>
      <c r="S37" s="70" t="inlineStr"/>
    </row>
    <row r="38" ht="18" customHeight="1">
      <c r="A38" s="114" t="inlineStr">
        <is>
          <t>PO-2025-1037</t>
        </is>
      </c>
      <c r="B38" s="85" t="inlineStr">
        <is>
          <t>EVT-2025-015</t>
        </is>
      </c>
      <c r="C38" s="86" t="inlineStr">
        <is>
          <t>KOL Connect</t>
        </is>
      </c>
      <c r="D38" s="86" t="inlineStr">
        <is>
          <t>Speaker Management</t>
        </is>
      </c>
      <c r="E38" s="164" t="n">
        <v>45924</v>
      </c>
      <c r="F38" s="164" t="n">
        <v>45933</v>
      </c>
      <c r="G38" s="90">
        <f>F38-E38</f>
        <v/>
      </c>
      <c r="H38" s="87" t="n">
        <v>32006.07</v>
      </c>
      <c r="I38" s="85" t="inlineStr">
        <is>
          <t>EUR</t>
        </is>
      </c>
      <c r="J38" s="85" t="inlineStr">
        <is>
          <t>CC-2847</t>
        </is>
      </c>
      <c r="K38" s="85" t="inlineStr">
        <is>
          <t>GL-6311</t>
        </is>
      </c>
      <c r="L38" s="88" t="inlineStr">
        <is>
          <t>Sent to Supplier</t>
        </is>
      </c>
      <c r="M38" s="85" t="inlineStr"/>
      <c r="N38" s="69" t="inlineStr">
        <is>
          <t>Paid</t>
        </is>
      </c>
      <c r="O38" s="164" t="n">
        <v>45985</v>
      </c>
      <c r="P38" s="90" t="n">
        <v>0</v>
      </c>
      <c r="Q38" s="86" t="inlineStr">
        <is>
          <t>Maria Kowalski</t>
        </is>
      </c>
      <c r="R38" s="86" t="inlineStr">
        <is>
          <t>David O'Brien</t>
        </is>
      </c>
      <c r="S38" s="86" t="inlineStr"/>
    </row>
    <row r="39" ht="18" customHeight="1">
      <c r="A39" s="115" t="inlineStr">
        <is>
          <t>PO-2025-1038</t>
        </is>
      </c>
      <c r="B39" s="71" t="inlineStr">
        <is>
          <t>EVT-2025-015</t>
        </is>
      </c>
      <c r="C39" s="70" t="inlineStr">
        <is>
          <t>Catering Excellence</t>
        </is>
      </c>
      <c r="D39" s="70" t="inlineStr">
        <is>
          <t>F&amp;B / Catering</t>
        </is>
      </c>
      <c r="E39" s="157" t="n">
        <v>45944</v>
      </c>
      <c r="F39" s="157" t="n">
        <v>45947</v>
      </c>
      <c r="G39" s="91">
        <f>F39-E39</f>
        <v/>
      </c>
      <c r="H39" s="73" t="n">
        <v>25078.05</v>
      </c>
      <c r="I39" s="71" t="inlineStr">
        <is>
          <t>EUR</t>
        </is>
      </c>
      <c r="J39" s="71" t="inlineStr">
        <is>
          <t>CC-6916</t>
        </is>
      </c>
      <c r="K39" s="71" t="inlineStr">
        <is>
          <t>GL-6312</t>
        </is>
      </c>
      <c r="L39" s="76" t="inlineStr">
        <is>
          <t>Pending Approval</t>
        </is>
      </c>
      <c r="M39" s="71" t="inlineStr">
        <is>
          <t>INV-01038</t>
        </is>
      </c>
      <c r="N39" s="96" t="inlineStr">
        <is>
          <t>Cancelled</t>
        </is>
      </c>
      <c r="O39" s="157" t="n">
        <v>45978</v>
      </c>
      <c r="P39" s="91" t="n">
        <v>0</v>
      </c>
      <c r="Q39" s="70" t="inlineStr">
        <is>
          <t>Emma Johansson</t>
        </is>
      </c>
      <c r="R39" s="70" t="inlineStr">
        <is>
          <t>David O'Brien</t>
        </is>
      </c>
      <c r="S39" s="70" t="inlineStr"/>
    </row>
    <row r="40" ht="18" customHeight="1">
      <c r="A40" s="114" t="inlineStr">
        <is>
          <t>PO-2025-1039</t>
        </is>
      </c>
      <c r="B40" s="85" t="inlineStr">
        <is>
          <t>EVT-2025-015</t>
        </is>
      </c>
      <c r="C40" s="86" t="inlineStr">
        <is>
          <t>Translingua Pro</t>
        </is>
      </c>
      <c r="D40" s="86" t="inlineStr">
        <is>
          <t>Translation &amp; Interpretation</t>
        </is>
      </c>
      <c r="E40" s="164" t="n">
        <v>45923</v>
      </c>
      <c r="F40" s="164" t="n">
        <v>45931</v>
      </c>
      <c r="G40" s="90">
        <f>F40-E40</f>
        <v/>
      </c>
      <c r="H40" s="87" t="n">
        <v>2631.64</v>
      </c>
      <c r="I40" s="85" t="inlineStr">
        <is>
          <t>EUR</t>
        </is>
      </c>
      <c r="J40" s="85" t="inlineStr">
        <is>
          <t>CC-9951</t>
        </is>
      </c>
      <c r="K40" s="85" t="inlineStr">
        <is>
          <t>GL-6325</t>
        </is>
      </c>
      <c r="L40" s="76" t="inlineStr">
        <is>
          <t>Pending Approval</t>
        </is>
      </c>
      <c r="M40" s="85" t="inlineStr">
        <is>
          <t>INV-01039</t>
        </is>
      </c>
      <c r="N40" s="96" t="inlineStr">
        <is>
          <t>Pending</t>
        </is>
      </c>
      <c r="O40" s="164" t="n">
        <v>45979</v>
      </c>
      <c r="P40" s="90" t="n">
        <v>0</v>
      </c>
      <c r="Q40" s="86" t="inlineStr">
        <is>
          <t>Carlos Navarro</t>
        </is>
      </c>
      <c r="R40" s="86" t="inlineStr">
        <is>
          <t>Marco Bianchi</t>
        </is>
      </c>
      <c r="S40" s="86" t="inlineStr"/>
    </row>
    <row r="41" ht="18" customHeight="1">
      <c r="A41" s="115" t="inlineStr">
        <is>
          <t>PO-2025-1040</t>
        </is>
      </c>
      <c r="B41" s="71" t="inlineStr">
        <is>
          <t>EVT-2025-015</t>
        </is>
      </c>
      <c r="C41" s="70" t="inlineStr">
        <is>
          <t>TechEvent Systems</t>
        </is>
      </c>
      <c r="D41" s="70" t="inlineStr">
        <is>
          <t>Registration &amp; Tech</t>
        </is>
      </c>
      <c r="E41" s="157" t="n">
        <v>45960</v>
      </c>
      <c r="F41" s="157" t="n">
        <v>45964</v>
      </c>
      <c r="G41" s="91">
        <f>F41-E41</f>
        <v/>
      </c>
      <c r="H41" s="73" t="n">
        <v>66961.42999999999</v>
      </c>
      <c r="I41" s="71" t="inlineStr">
        <is>
          <t>EUR</t>
        </is>
      </c>
      <c r="J41" s="71" t="inlineStr">
        <is>
          <t>CC-1225</t>
        </is>
      </c>
      <c r="K41" s="71" t="inlineStr">
        <is>
          <t>GL-6312</t>
        </is>
      </c>
      <c r="L41" s="76" t="inlineStr">
        <is>
          <t>Pending Approval</t>
        </is>
      </c>
      <c r="M41" s="71" t="inlineStr">
        <is>
          <t>INV-01040</t>
        </is>
      </c>
      <c r="N41" s="88" t="inlineStr">
        <is>
          <t>Approved</t>
        </is>
      </c>
      <c r="O41" s="157" t="n">
        <v>45991</v>
      </c>
      <c r="P41" s="91" t="n">
        <v>0</v>
      </c>
      <c r="Q41" s="70" t="inlineStr">
        <is>
          <t>Ana García</t>
        </is>
      </c>
      <c r="R41" s="70" t="inlineStr">
        <is>
          <t>Ana García</t>
        </is>
      </c>
      <c r="S41" s="70" t="inlineStr"/>
    </row>
    <row r="42" ht="18" customHeight="1">
      <c r="A42" s="114" t="inlineStr">
        <is>
          <t>PO-2025-1041</t>
        </is>
      </c>
      <c r="B42" s="85" t="inlineStr">
        <is>
          <t>EVT-2025-016</t>
        </is>
      </c>
      <c r="C42" s="86" t="inlineStr">
        <is>
          <t>Prime Hospitality Group</t>
        </is>
      </c>
      <c r="D42" s="86" t="inlineStr">
        <is>
          <t>Hotel &amp; Venue</t>
        </is>
      </c>
      <c r="E42" s="164" t="n">
        <v>45539</v>
      </c>
      <c r="F42" s="164" t="n">
        <v>45548</v>
      </c>
      <c r="G42" s="90">
        <f>F42-E42</f>
        <v/>
      </c>
      <c r="H42" s="87" t="n">
        <v>54865.63</v>
      </c>
      <c r="I42" s="85" t="inlineStr">
        <is>
          <t>EUR</t>
        </is>
      </c>
      <c r="J42" s="85" t="inlineStr">
        <is>
          <t>CC-9300</t>
        </is>
      </c>
      <c r="K42" s="85" t="inlineStr">
        <is>
          <t>GL-6312</t>
        </is>
      </c>
      <c r="L42" s="93" t="inlineStr">
        <is>
          <t>Cancelled</t>
        </is>
      </c>
      <c r="M42" s="85" t="inlineStr">
        <is>
          <t>INV-01041</t>
        </is>
      </c>
      <c r="N42" s="76" t="inlineStr">
        <is>
          <t>Disputed</t>
        </is>
      </c>
      <c r="O42" s="164" t="n">
        <v>45629</v>
      </c>
      <c r="P42" s="90" t="n">
        <v>0</v>
      </c>
      <c r="Q42" s="86" t="inlineStr">
        <is>
          <t>Thomas Dubois</t>
        </is>
      </c>
      <c r="R42" s="86" t="inlineStr">
        <is>
          <t>Lena Schneider</t>
        </is>
      </c>
      <c r="S42" s="86" t="inlineStr"/>
    </row>
    <row r="43" ht="18" customHeight="1">
      <c r="A43" s="115" t="inlineStr">
        <is>
          <t>PO-2025-1042</t>
        </is>
      </c>
      <c r="B43" s="71" t="inlineStr">
        <is>
          <t>EVT-2025-016</t>
        </is>
      </c>
      <c r="C43" s="70" t="inlineStr">
        <is>
          <t>Compliance Expert Ltd</t>
        </is>
      </c>
      <c r="D43" s="70" t="inlineStr">
        <is>
          <t>Compliance &amp; Legal</t>
        </is>
      </c>
      <c r="E43" s="157" t="n">
        <v>45553</v>
      </c>
      <c r="F43" s="157" t="n">
        <v>45562</v>
      </c>
      <c r="G43" s="91">
        <f>F43-E43</f>
        <v/>
      </c>
      <c r="H43" s="73" t="n">
        <v>9578.790000000001</v>
      </c>
      <c r="I43" s="71" t="inlineStr">
        <is>
          <t>EUR</t>
        </is>
      </c>
      <c r="J43" s="71" t="inlineStr">
        <is>
          <t>CC-7939</t>
        </is>
      </c>
      <c r="K43" s="71" t="inlineStr">
        <is>
          <t>GL-6325</t>
        </is>
      </c>
      <c r="L43" s="88" t="inlineStr">
        <is>
          <t>Sent to Supplier</t>
        </is>
      </c>
      <c r="M43" s="71" t="inlineStr"/>
      <c r="N43" s="95" t="inlineStr">
        <is>
          <t>Invoiced</t>
        </is>
      </c>
      <c r="O43" s="157" t="n">
        <v>45632</v>
      </c>
      <c r="P43" s="91" t="n">
        <v>0</v>
      </c>
      <c r="Q43" s="70" t="inlineStr">
        <is>
          <t>Marco Bianchi</t>
        </is>
      </c>
      <c r="R43" s="70" t="inlineStr">
        <is>
          <t>Maria Kowalski</t>
        </is>
      </c>
      <c r="S43" s="70" t="inlineStr"/>
    </row>
    <row r="44" ht="18" customHeight="1">
      <c r="A44" s="114" t="inlineStr">
        <is>
          <t>PO-2025-1043</t>
        </is>
      </c>
      <c r="B44" s="85" t="inlineStr">
        <is>
          <t>EVT-2025-016</t>
        </is>
      </c>
      <c r="C44" s="86" t="inlineStr">
        <is>
          <t>HealthMarketing Group</t>
        </is>
      </c>
      <c r="D44" s="86" t="inlineStr">
        <is>
          <t>Marketing Agency</t>
        </is>
      </c>
      <c r="E44" s="164" t="n">
        <v>45565</v>
      </c>
      <c r="F44" s="164" t="n">
        <v>45570</v>
      </c>
      <c r="G44" s="90">
        <f>F44-E44</f>
        <v/>
      </c>
      <c r="H44" s="87" t="n">
        <v>47206.76</v>
      </c>
      <c r="I44" s="85" t="inlineStr">
        <is>
          <t>EUR</t>
        </is>
      </c>
      <c r="J44" s="85" t="inlineStr">
        <is>
          <t>CC-5546</t>
        </is>
      </c>
      <c r="K44" s="85" t="inlineStr">
        <is>
          <t>GL-6310</t>
        </is>
      </c>
      <c r="L44" s="69" t="inlineStr">
        <is>
          <t>Approved</t>
        </is>
      </c>
      <c r="M44" s="85" t="inlineStr">
        <is>
          <t>INV-01043</t>
        </is>
      </c>
      <c r="N44" s="95" t="inlineStr">
        <is>
          <t>Invoiced</t>
        </is>
      </c>
      <c r="O44" s="164" t="n">
        <v>45629</v>
      </c>
      <c r="P44" s="90" t="n">
        <v>0</v>
      </c>
      <c r="Q44" s="86" t="inlineStr">
        <is>
          <t>Marco Bianchi</t>
        </is>
      </c>
      <c r="R44" s="86" t="inlineStr">
        <is>
          <t>Lena Schneider</t>
        </is>
      </c>
      <c r="S44" s="86" t="inlineStr"/>
    </row>
    <row r="45" ht="18" customHeight="1">
      <c r="A45" s="115" t="inlineStr">
        <is>
          <t>PO-2025-1044</t>
        </is>
      </c>
      <c r="B45" s="71" t="inlineStr">
        <is>
          <t>EVT-2025-017</t>
        </is>
      </c>
      <c r="C45" s="70" t="inlineStr">
        <is>
          <t>MedAudio AV Solutions</t>
        </is>
      </c>
      <c r="D45" s="70" t="inlineStr">
        <is>
          <t>AV &amp; Technology</t>
        </is>
      </c>
      <c r="E45" s="157" t="n">
        <v>45858</v>
      </c>
      <c r="F45" s="157" t="n">
        <v>45864</v>
      </c>
      <c r="G45" s="91">
        <f>F45-E45</f>
        <v/>
      </c>
      <c r="H45" s="73" t="n">
        <v>30536.89</v>
      </c>
      <c r="I45" s="71" t="inlineStr">
        <is>
          <t>EUR</t>
        </is>
      </c>
      <c r="J45" s="71" t="inlineStr">
        <is>
          <t>CC-3545</t>
        </is>
      </c>
      <c r="K45" s="71" t="inlineStr">
        <is>
          <t>GL-6320</t>
        </is>
      </c>
      <c r="L45" s="69" t="inlineStr">
        <is>
          <t>Approved</t>
        </is>
      </c>
      <c r="M45" s="71" t="inlineStr">
        <is>
          <t>INV-01044</t>
        </is>
      </c>
      <c r="N45" s="96" t="inlineStr">
        <is>
          <t>Cancelled</t>
        </is>
      </c>
      <c r="O45" s="157" t="n">
        <v>45946</v>
      </c>
      <c r="P45" s="91" t="n">
        <v>0</v>
      </c>
      <c r="Q45" s="70" t="inlineStr">
        <is>
          <t>Emma Johansson</t>
        </is>
      </c>
      <c r="R45" s="70" t="inlineStr">
        <is>
          <t>David O'Brien</t>
        </is>
      </c>
      <c r="S45" s="70" t="inlineStr"/>
    </row>
    <row r="46" ht="18" customHeight="1">
      <c r="A46" s="114" t="inlineStr">
        <is>
          <t>PO-2025-1045</t>
        </is>
      </c>
      <c r="B46" s="85" t="inlineStr">
        <is>
          <t>EVT-2025-017</t>
        </is>
      </c>
      <c r="C46" s="86" t="inlineStr">
        <is>
          <t>Prime Hospitality Group</t>
        </is>
      </c>
      <c r="D46" s="86" t="inlineStr">
        <is>
          <t>Hotel &amp; Venue</t>
        </is>
      </c>
      <c r="E46" s="164" t="n">
        <v>45877</v>
      </c>
      <c r="F46" s="164" t="n">
        <v>45881</v>
      </c>
      <c r="G46" s="90">
        <f>F46-E46</f>
        <v/>
      </c>
      <c r="H46" s="87" t="n">
        <v>66325.81</v>
      </c>
      <c r="I46" s="85" t="inlineStr">
        <is>
          <t>EUR</t>
        </is>
      </c>
      <c r="J46" s="85" t="inlineStr">
        <is>
          <t>CC-6081</t>
        </is>
      </c>
      <c r="K46" s="85" t="inlineStr">
        <is>
          <t>GL-6325</t>
        </is>
      </c>
      <c r="L46" s="88" t="inlineStr">
        <is>
          <t>Sent to Supplier</t>
        </is>
      </c>
      <c r="M46" s="85" t="inlineStr"/>
      <c r="N46" s="95" t="inlineStr">
        <is>
          <t>Invoiced</t>
        </is>
      </c>
      <c r="O46" s="164" t="n">
        <v>45947</v>
      </c>
      <c r="P46" s="90" t="n">
        <v>0</v>
      </c>
      <c r="Q46" s="86" t="inlineStr">
        <is>
          <t>Thomas Dubois</t>
        </is>
      </c>
      <c r="R46" s="86" t="inlineStr">
        <is>
          <t>James Wilson</t>
        </is>
      </c>
      <c r="S46" s="86" t="inlineStr"/>
    </row>
    <row r="47" ht="18" customHeight="1">
      <c r="A47" s="115" t="inlineStr">
        <is>
          <t>PO-2025-1046</t>
        </is>
      </c>
      <c r="B47" s="71" t="inlineStr">
        <is>
          <t>EVT-2025-017</t>
        </is>
      </c>
      <c r="C47" s="70" t="inlineStr">
        <is>
          <t>HealthMarketing Group</t>
        </is>
      </c>
      <c r="D47" s="70" t="inlineStr">
        <is>
          <t>Marketing Agency</t>
        </is>
      </c>
      <c r="E47" s="157" t="n">
        <v>45915</v>
      </c>
      <c r="F47" s="157" t="n">
        <v>45921</v>
      </c>
      <c r="G47" s="91">
        <f>F47-E47</f>
        <v/>
      </c>
      <c r="H47" s="73" t="n">
        <v>64730.14</v>
      </c>
      <c r="I47" s="71" t="inlineStr">
        <is>
          <t>EUR</t>
        </is>
      </c>
      <c r="J47" s="71" t="inlineStr">
        <is>
          <t>CC-2412</t>
        </is>
      </c>
      <c r="K47" s="71" t="inlineStr">
        <is>
          <t>GL-6315</t>
        </is>
      </c>
      <c r="L47" s="96" t="inlineStr">
        <is>
          <t>Draft</t>
        </is>
      </c>
      <c r="M47" s="71" t="inlineStr">
        <is>
          <t>INV-01046</t>
        </is>
      </c>
      <c r="N47" s="88" t="inlineStr">
        <is>
          <t>Approved</t>
        </is>
      </c>
      <c r="O47" s="157" t="n">
        <v>45948</v>
      </c>
      <c r="P47" s="91" t="n">
        <v>0</v>
      </c>
      <c r="Q47" s="70" t="inlineStr">
        <is>
          <t>Carlos Navarro</t>
        </is>
      </c>
      <c r="R47" s="70" t="inlineStr">
        <is>
          <t>David O'Brien</t>
        </is>
      </c>
      <c r="S47" s="70" t="inlineStr"/>
    </row>
    <row r="48" ht="18" customHeight="1">
      <c r="A48" s="114" t="inlineStr">
        <is>
          <t>PO-2025-1047</t>
        </is>
      </c>
      <c r="B48" s="85" t="inlineStr">
        <is>
          <t>EVT-2025-017</t>
        </is>
      </c>
      <c r="C48" s="86" t="inlineStr">
        <is>
          <t>PrintMed Solutions</t>
        </is>
      </c>
      <c r="D48" s="86" t="inlineStr">
        <is>
          <t>Print &amp; Production</t>
        </is>
      </c>
      <c r="E48" s="164" t="n">
        <v>45871</v>
      </c>
      <c r="F48" s="164" t="n">
        <v>45874</v>
      </c>
      <c r="G48" s="90">
        <f>F48-E48</f>
        <v/>
      </c>
      <c r="H48" s="87" t="n">
        <v>69090.97</v>
      </c>
      <c r="I48" s="85" t="inlineStr">
        <is>
          <t>EUR</t>
        </is>
      </c>
      <c r="J48" s="85" t="inlineStr">
        <is>
          <t>CC-6067</t>
        </is>
      </c>
      <c r="K48" s="85" t="inlineStr">
        <is>
          <t>GL-6325</t>
        </is>
      </c>
      <c r="L48" s="93" t="inlineStr">
        <is>
          <t>Cancelled</t>
        </is>
      </c>
      <c r="M48" s="85" t="inlineStr">
        <is>
          <t>INV-01047</t>
        </is>
      </c>
      <c r="N48" s="69" t="inlineStr">
        <is>
          <t>Paid</t>
        </is>
      </c>
      <c r="O48" s="164" t="n">
        <v>45939</v>
      </c>
      <c r="P48" s="90" t="n">
        <v>0</v>
      </c>
      <c r="Q48" s="86" t="inlineStr">
        <is>
          <t>Maria Kowalski</t>
        </is>
      </c>
      <c r="R48" s="86" t="inlineStr">
        <is>
          <t>Thomas Dubois</t>
        </is>
      </c>
      <c r="S48" s="86" t="inlineStr"/>
    </row>
    <row r="49" ht="18" customHeight="1">
      <c r="A49" s="115" t="inlineStr">
        <is>
          <t>PO-2025-1048</t>
        </is>
      </c>
      <c r="B49" s="71" t="inlineStr">
        <is>
          <t>EVT-2025-018</t>
        </is>
      </c>
      <c r="C49" s="70" t="inlineStr">
        <is>
          <t>PharmaLogix</t>
        </is>
      </c>
      <c r="D49" s="70" t="inlineStr">
        <is>
          <t>Logistics &amp; Transport</t>
        </is>
      </c>
      <c r="E49" s="157" t="n">
        <v>45608</v>
      </c>
      <c r="F49" s="157" t="n">
        <v>45612</v>
      </c>
      <c r="G49" s="91">
        <f>F49-E49</f>
        <v/>
      </c>
      <c r="H49" s="73" t="n">
        <v>11639.92</v>
      </c>
      <c r="I49" s="71" t="inlineStr">
        <is>
          <t>EUR</t>
        </is>
      </c>
      <c r="J49" s="71" t="inlineStr">
        <is>
          <t>CC-1207</t>
        </is>
      </c>
      <c r="K49" s="71" t="inlineStr">
        <is>
          <t>GL-6325</t>
        </is>
      </c>
      <c r="L49" s="76" t="inlineStr">
        <is>
          <t>Pending Approval</t>
        </is>
      </c>
      <c r="M49" s="71" t="inlineStr"/>
      <c r="N49" s="76" t="inlineStr">
        <is>
          <t>Disputed</t>
        </is>
      </c>
      <c r="O49" s="157" t="n">
        <v>45649</v>
      </c>
      <c r="P49" s="91" t="n">
        <v>0</v>
      </c>
      <c r="Q49" s="70" t="inlineStr">
        <is>
          <t>Thomas Dubois</t>
        </is>
      </c>
      <c r="R49" s="70" t="inlineStr">
        <is>
          <t>Ana García</t>
        </is>
      </c>
      <c r="S49" s="70" t="inlineStr"/>
    </row>
    <row r="50" ht="18" customHeight="1">
      <c r="A50" s="114" t="inlineStr">
        <is>
          <t>PO-2025-1049</t>
        </is>
      </c>
      <c r="B50" s="85" t="inlineStr">
        <is>
          <t>EVT-2025-018</t>
        </is>
      </c>
      <c r="C50" s="86" t="inlineStr">
        <is>
          <t>InterCongress PCO</t>
        </is>
      </c>
      <c r="D50" s="86" t="inlineStr">
        <is>
          <t>PCO / Event Agency</t>
        </is>
      </c>
      <c r="E50" s="164" t="n">
        <v>45609</v>
      </c>
      <c r="F50" s="164" t="n">
        <v>45619</v>
      </c>
      <c r="G50" s="90">
        <f>F50-E50</f>
        <v/>
      </c>
      <c r="H50" s="87" t="n">
        <v>66148.55</v>
      </c>
      <c r="I50" s="85" t="inlineStr">
        <is>
          <t>EUR</t>
        </is>
      </c>
      <c r="J50" s="85" t="inlineStr">
        <is>
          <t>CC-6680</t>
        </is>
      </c>
      <c r="K50" s="85" t="inlineStr">
        <is>
          <t>GL-6320</t>
        </is>
      </c>
      <c r="L50" s="116" t="inlineStr">
        <is>
          <t>Closed</t>
        </is>
      </c>
      <c r="M50" s="85" t="inlineStr">
        <is>
          <t>INV-01049</t>
        </is>
      </c>
      <c r="N50" s="88" t="inlineStr">
        <is>
          <t>Approved</t>
        </is>
      </c>
      <c r="O50" s="164" t="n">
        <v>45649</v>
      </c>
      <c r="P50" s="90" t="n">
        <v>0</v>
      </c>
      <c r="Q50" s="86" t="inlineStr">
        <is>
          <t>Thomas Dubois</t>
        </is>
      </c>
      <c r="R50" s="86" t="inlineStr">
        <is>
          <t>Isabel Ferreira</t>
        </is>
      </c>
      <c r="S50" s="86" t="inlineStr"/>
    </row>
    <row r="51" ht="18" customHeight="1">
      <c r="A51" s="115" t="inlineStr">
        <is>
          <t>PO-2025-1050</t>
        </is>
      </c>
      <c r="B51" s="71" t="inlineStr">
        <is>
          <t>EVT-2025-018</t>
        </is>
      </c>
      <c r="C51" s="70" t="inlineStr">
        <is>
          <t>Venue Masters EMEA</t>
        </is>
      </c>
      <c r="D51" s="70" t="inlineStr">
        <is>
          <t>Venue Sourcing</t>
        </is>
      </c>
      <c r="E51" s="157" t="n">
        <v>45603</v>
      </c>
      <c r="F51" s="157" t="n">
        <v>45611</v>
      </c>
      <c r="G51" s="91">
        <f>F51-E51</f>
        <v/>
      </c>
      <c r="H51" s="73" t="n">
        <v>70970.32000000001</v>
      </c>
      <c r="I51" s="71" t="inlineStr">
        <is>
          <t>EUR</t>
        </is>
      </c>
      <c r="J51" s="71" t="inlineStr">
        <is>
          <t>CC-3079</t>
        </is>
      </c>
      <c r="K51" s="71" t="inlineStr">
        <is>
          <t>GL-6325</t>
        </is>
      </c>
      <c r="L51" s="69" t="inlineStr">
        <is>
          <t>Approved</t>
        </is>
      </c>
      <c r="M51" s="71" t="inlineStr"/>
      <c r="N51" s="93" t="inlineStr">
        <is>
          <t>Overdue</t>
        </is>
      </c>
      <c r="O51" s="157" t="n">
        <v>45643</v>
      </c>
      <c r="P51" s="94" t="n">
        <v>554</v>
      </c>
      <c r="Q51" s="70" t="inlineStr">
        <is>
          <t>Thomas Dubois</t>
        </is>
      </c>
      <c r="R51" s="70" t="inlineStr">
        <is>
          <t>Marco Bianchi</t>
        </is>
      </c>
      <c r="S51" s="70" t="inlineStr"/>
    </row>
    <row r="52" ht="18" customHeight="1">
      <c r="A52" s="114" t="inlineStr">
        <is>
          <t>PO-2025-1051</t>
        </is>
      </c>
      <c r="B52" s="85" t="inlineStr">
        <is>
          <t>EVT-2025-018</t>
        </is>
      </c>
      <c r="C52" s="86" t="inlineStr">
        <is>
          <t>MedComm Agency</t>
        </is>
      </c>
      <c r="D52" s="86" t="inlineStr">
        <is>
          <t>Medical Communication</t>
        </is>
      </c>
      <c r="E52" s="164" t="n">
        <v>45567</v>
      </c>
      <c r="F52" s="164" t="n">
        <v>45570</v>
      </c>
      <c r="G52" s="90">
        <f>F52-E52</f>
        <v/>
      </c>
      <c r="H52" s="87" t="n">
        <v>51561.51</v>
      </c>
      <c r="I52" s="85" t="inlineStr">
        <is>
          <t>EUR</t>
        </is>
      </c>
      <c r="J52" s="85" t="inlineStr">
        <is>
          <t>CC-6488</t>
        </is>
      </c>
      <c r="K52" s="85" t="inlineStr">
        <is>
          <t>GL-6330</t>
        </is>
      </c>
      <c r="L52" s="88" t="inlineStr">
        <is>
          <t>Sent to Supplier</t>
        </is>
      </c>
      <c r="M52" s="85" t="inlineStr">
        <is>
          <t>INV-01051</t>
        </is>
      </c>
      <c r="N52" s="95" t="inlineStr">
        <is>
          <t>Invoiced</t>
        </is>
      </c>
      <c r="O52" s="164" t="n">
        <v>45646</v>
      </c>
      <c r="P52" s="90" t="n">
        <v>0</v>
      </c>
      <c r="Q52" s="86" t="inlineStr">
        <is>
          <t>Isabel Ferreira</t>
        </is>
      </c>
      <c r="R52" s="86" t="inlineStr">
        <is>
          <t>Lena Schneider</t>
        </is>
      </c>
      <c r="S52" s="86" t="inlineStr"/>
    </row>
    <row r="53" ht="18" customHeight="1">
      <c r="A53" s="115" t="inlineStr">
        <is>
          <t>PO-2025-1052</t>
        </is>
      </c>
      <c r="B53" s="71" t="inlineStr">
        <is>
          <t>EVT-2025-018</t>
        </is>
      </c>
      <c r="C53" s="70" t="inlineStr">
        <is>
          <t>AVIAWORLD Travel</t>
        </is>
      </c>
      <c r="D53" s="70" t="inlineStr">
        <is>
          <t>Travel &amp; Air</t>
        </is>
      </c>
      <c r="E53" s="157" t="n">
        <v>45625</v>
      </c>
      <c r="F53" s="157" t="n">
        <v>45632</v>
      </c>
      <c r="G53" s="91">
        <f>F53-E53</f>
        <v/>
      </c>
      <c r="H53" s="73" t="n">
        <v>12902.61</v>
      </c>
      <c r="I53" s="71" t="inlineStr">
        <is>
          <t>EUR</t>
        </is>
      </c>
      <c r="J53" s="71" t="inlineStr">
        <is>
          <t>CC-2262</t>
        </is>
      </c>
      <c r="K53" s="71" t="inlineStr">
        <is>
          <t>GL-6315</t>
        </is>
      </c>
      <c r="L53" s="88" t="inlineStr">
        <is>
          <t>Sent to Supplier</t>
        </is>
      </c>
      <c r="M53" s="71" t="inlineStr">
        <is>
          <t>INV-01052</t>
        </is>
      </c>
      <c r="N53" s="69" t="inlineStr">
        <is>
          <t>Paid</t>
        </is>
      </c>
      <c r="O53" s="157" t="n">
        <v>45659</v>
      </c>
      <c r="P53" s="91" t="n">
        <v>0</v>
      </c>
      <c r="Q53" s="70" t="inlineStr">
        <is>
          <t>Lena Schneider</t>
        </is>
      </c>
      <c r="R53" s="70" t="inlineStr">
        <is>
          <t>Lucas Dupont</t>
        </is>
      </c>
      <c r="S53" s="70" t="inlineStr"/>
    </row>
    <row r="54" ht="18" customHeight="1">
      <c r="A54" s="114" t="inlineStr">
        <is>
          <t>PO-2025-1053</t>
        </is>
      </c>
      <c r="B54" s="85" t="inlineStr">
        <is>
          <t>EVT-2025-019</t>
        </is>
      </c>
      <c r="C54" s="86" t="inlineStr">
        <is>
          <t>Prime Hospitality Group</t>
        </is>
      </c>
      <c r="D54" s="86" t="inlineStr">
        <is>
          <t>Hotel &amp; Venue</t>
        </is>
      </c>
      <c r="E54" s="164" t="n">
        <v>45852</v>
      </c>
      <c r="F54" s="164" t="n">
        <v>45862</v>
      </c>
      <c r="G54" s="90">
        <f>F54-E54</f>
        <v/>
      </c>
      <c r="H54" s="87" t="n">
        <v>12581.8</v>
      </c>
      <c r="I54" s="85" t="inlineStr">
        <is>
          <t>EUR</t>
        </is>
      </c>
      <c r="J54" s="85" t="inlineStr">
        <is>
          <t>CC-3734</t>
        </is>
      </c>
      <c r="K54" s="85" t="inlineStr">
        <is>
          <t>GL-6312</t>
        </is>
      </c>
      <c r="L54" s="76" t="inlineStr">
        <is>
          <t>Pending Approval</t>
        </is>
      </c>
      <c r="M54" s="85" t="inlineStr">
        <is>
          <t>INV-01053</t>
        </is>
      </c>
      <c r="N54" s="76" t="inlineStr">
        <is>
          <t>Disputed</t>
        </is>
      </c>
      <c r="O54" s="164" t="n">
        <v>45885</v>
      </c>
      <c r="P54" s="90" t="n">
        <v>0</v>
      </c>
      <c r="Q54" s="86" t="inlineStr">
        <is>
          <t>Isabel Ferreira</t>
        </is>
      </c>
      <c r="R54" s="86" t="inlineStr">
        <is>
          <t>Marco Bianchi</t>
        </is>
      </c>
      <c r="S54" s="86" t="inlineStr"/>
    </row>
    <row r="55" ht="18" customHeight="1">
      <c r="A55" s="115" t="inlineStr">
        <is>
          <t>PO-2025-1054</t>
        </is>
      </c>
      <c r="B55" s="71" t="inlineStr">
        <is>
          <t>EVT-2025-020</t>
        </is>
      </c>
      <c r="C55" s="70" t="inlineStr">
        <is>
          <t>MedComm Agency</t>
        </is>
      </c>
      <c r="D55" s="70" t="inlineStr">
        <is>
          <t>Medical Communication</t>
        </is>
      </c>
      <c r="E55" s="157" t="n">
        <v>45633</v>
      </c>
      <c r="F55" s="157" t="n">
        <v>45637</v>
      </c>
      <c r="G55" s="91">
        <f>F55-E55</f>
        <v/>
      </c>
      <c r="H55" s="73" t="n">
        <v>53083.91</v>
      </c>
      <c r="I55" s="71" t="inlineStr">
        <is>
          <t>EUR</t>
        </is>
      </c>
      <c r="J55" s="71" t="inlineStr">
        <is>
          <t>CC-4742</t>
        </is>
      </c>
      <c r="K55" s="71" t="inlineStr">
        <is>
          <t>GL-6325</t>
        </is>
      </c>
      <c r="L55" s="116" t="inlineStr">
        <is>
          <t>Closed</t>
        </is>
      </c>
      <c r="M55" s="71" t="inlineStr">
        <is>
          <t>INV-01054</t>
        </is>
      </c>
      <c r="N55" s="95" t="inlineStr">
        <is>
          <t>Invoiced</t>
        </is>
      </c>
      <c r="O55" s="157" t="n">
        <v>45720</v>
      </c>
      <c r="P55" s="91" t="n">
        <v>0</v>
      </c>
      <c r="Q55" s="70" t="inlineStr">
        <is>
          <t>Ana García</t>
        </is>
      </c>
      <c r="R55" s="70" t="inlineStr">
        <is>
          <t>Ana García</t>
        </is>
      </c>
      <c r="S55" s="70" t="inlineStr"/>
    </row>
    <row r="56" ht="18" customHeight="1">
      <c r="A56" s="114" t="inlineStr">
        <is>
          <t>PO-2025-1055</t>
        </is>
      </c>
      <c r="B56" s="85" t="inlineStr">
        <is>
          <t>EVT-2025-020</t>
        </is>
      </c>
      <c r="C56" s="86" t="inlineStr">
        <is>
          <t>DigitalPharma Studio</t>
        </is>
      </c>
      <c r="D56" s="86" t="inlineStr">
        <is>
          <t>Digital &amp; Web</t>
        </is>
      </c>
      <c r="E56" s="164" t="n">
        <v>45637</v>
      </c>
      <c r="F56" s="164" t="n">
        <v>45640</v>
      </c>
      <c r="G56" s="90">
        <f>F56-E56</f>
        <v/>
      </c>
      <c r="H56" s="87" t="n">
        <v>18947.04</v>
      </c>
      <c r="I56" s="85" t="inlineStr">
        <is>
          <t>EUR</t>
        </is>
      </c>
      <c r="J56" s="85" t="inlineStr">
        <is>
          <t>CC-5006</t>
        </is>
      </c>
      <c r="K56" s="85" t="inlineStr">
        <is>
          <t>GL-6310</t>
        </is>
      </c>
      <c r="L56" s="88" t="inlineStr">
        <is>
          <t>Sent to Supplier</t>
        </is>
      </c>
      <c r="M56" s="85" t="inlineStr">
        <is>
          <t>INV-01055</t>
        </is>
      </c>
      <c r="N56" s="96" t="inlineStr">
        <is>
          <t>Cancelled</t>
        </is>
      </c>
      <c r="O56" s="164" t="n">
        <v>45721</v>
      </c>
      <c r="P56" s="90" t="n">
        <v>0</v>
      </c>
      <c r="Q56" s="86" t="inlineStr">
        <is>
          <t>Lucas Dupont</t>
        </is>
      </c>
      <c r="R56" s="86" t="inlineStr">
        <is>
          <t>Emma Johansson</t>
        </is>
      </c>
      <c r="S56" s="86" t="inlineStr"/>
    </row>
    <row r="57" ht="18" customHeight="1">
      <c r="A57" s="115" t="inlineStr">
        <is>
          <t>PO-2025-1056</t>
        </is>
      </c>
      <c r="B57" s="71" t="inlineStr">
        <is>
          <t>EVT-2025-020</t>
        </is>
      </c>
      <c r="C57" s="70" t="inlineStr">
        <is>
          <t>KOL Connect</t>
        </is>
      </c>
      <c r="D57" s="70" t="inlineStr">
        <is>
          <t>Speaker Management</t>
        </is>
      </c>
      <c r="E57" s="157" t="n">
        <v>45630</v>
      </c>
      <c r="F57" s="157" t="n">
        <v>45635</v>
      </c>
      <c r="G57" s="91">
        <f>F57-E57</f>
        <v/>
      </c>
      <c r="H57" s="73" t="n">
        <v>55483.06</v>
      </c>
      <c r="I57" s="71" t="inlineStr">
        <is>
          <t>EUR</t>
        </is>
      </c>
      <c r="J57" s="71" t="inlineStr">
        <is>
          <t>CC-3932</t>
        </is>
      </c>
      <c r="K57" s="71" t="inlineStr">
        <is>
          <t>GL-6330</t>
        </is>
      </c>
      <c r="L57" s="96" t="inlineStr">
        <is>
          <t>Draft</t>
        </is>
      </c>
      <c r="M57" s="71" t="inlineStr"/>
      <c r="N57" s="76" t="inlineStr">
        <is>
          <t>Disputed</t>
        </is>
      </c>
      <c r="O57" s="157" t="n">
        <v>45718</v>
      </c>
      <c r="P57" s="91" t="n">
        <v>0</v>
      </c>
      <c r="Q57" s="70" t="inlineStr">
        <is>
          <t>Lena Schneider</t>
        </is>
      </c>
      <c r="R57" s="70" t="inlineStr">
        <is>
          <t>Thomas Dubois</t>
        </is>
      </c>
      <c r="S57" s="70" t="inlineStr"/>
    </row>
    <row r="58" ht="18" customHeight="1">
      <c r="A58" s="114" t="inlineStr">
        <is>
          <t>PO-2025-1057</t>
        </is>
      </c>
      <c r="B58" s="85" t="inlineStr">
        <is>
          <t>EVT-2025-020</t>
        </is>
      </c>
      <c r="C58" s="86" t="inlineStr">
        <is>
          <t>Venue Masters EMEA</t>
        </is>
      </c>
      <c r="D58" s="86" t="inlineStr">
        <is>
          <t>Venue Sourcing</t>
        </is>
      </c>
      <c r="E58" s="164" t="n">
        <v>45655</v>
      </c>
      <c r="F58" s="164" t="n">
        <v>45664</v>
      </c>
      <c r="G58" s="90">
        <f>F58-E58</f>
        <v/>
      </c>
      <c r="H58" s="87" t="n">
        <v>23518.75</v>
      </c>
      <c r="I58" s="85" t="inlineStr">
        <is>
          <t>EUR</t>
        </is>
      </c>
      <c r="J58" s="85" t="inlineStr">
        <is>
          <t>CC-4678</t>
        </is>
      </c>
      <c r="K58" s="85" t="inlineStr">
        <is>
          <t>GL-6312</t>
        </is>
      </c>
      <c r="L58" s="76" t="inlineStr">
        <is>
          <t>Pending Approval</t>
        </is>
      </c>
      <c r="M58" s="85" t="inlineStr"/>
      <c r="N58" s="96" t="inlineStr">
        <is>
          <t>Cancelled</t>
        </is>
      </c>
      <c r="O58" s="164" t="n">
        <v>45732</v>
      </c>
      <c r="P58" s="90" t="n">
        <v>0</v>
      </c>
      <c r="Q58" s="86" t="inlineStr">
        <is>
          <t>Emma Johansson</t>
        </is>
      </c>
      <c r="R58" s="86" t="inlineStr">
        <is>
          <t>Thomas Dubois</t>
        </is>
      </c>
      <c r="S58" s="86" t="inlineStr"/>
    </row>
    <row r="59" ht="18" customHeight="1">
      <c r="A59" s="115" t="inlineStr">
        <is>
          <t>PO-2025-1058</t>
        </is>
      </c>
      <c r="B59" s="71" t="inlineStr">
        <is>
          <t>EVT-2025-020</t>
        </is>
      </c>
      <c r="C59" s="70" t="inlineStr">
        <is>
          <t>MedAudio AV Solutions</t>
        </is>
      </c>
      <c r="D59" s="70" t="inlineStr">
        <is>
          <t>AV &amp; Technology</t>
        </is>
      </c>
      <c r="E59" s="157" t="n">
        <v>45665</v>
      </c>
      <c r="F59" s="157" t="n">
        <v>45672</v>
      </c>
      <c r="G59" s="91">
        <f>F59-E59</f>
        <v/>
      </c>
      <c r="H59" s="73" t="n">
        <v>18544.25</v>
      </c>
      <c r="I59" s="71" t="inlineStr">
        <is>
          <t>EUR</t>
        </is>
      </c>
      <c r="J59" s="71" t="inlineStr">
        <is>
          <t>CC-2276</t>
        </is>
      </c>
      <c r="K59" s="71" t="inlineStr">
        <is>
          <t>GL-6320</t>
        </is>
      </c>
      <c r="L59" s="69" t="inlineStr">
        <is>
          <t>Approved</t>
        </is>
      </c>
      <c r="M59" s="71" t="inlineStr"/>
      <c r="N59" s="96" t="inlineStr">
        <is>
          <t>Pending</t>
        </is>
      </c>
      <c r="O59" s="157" t="n">
        <v>45715</v>
      </c>
      <c r="P59" s="91" t="n">
        <v>0</v>
      </c>
      <c r="Q59" s="70" t="inlineStr">
        <is>
          <t>Marco Bianchi</t>
        </is>
      </c>
      <c r="R59" s="70" t="inlineStr">
        <is>
          <t>Lena Schneider</t>
        </is>
      </c>
      <c r="S59" s="70" t="inlineStr"/>
    </row>
    <row r="60" ht="18" customHeight="1">
      <c r="A60" s="114" t="inlineStr">
        <is>
          <t>PO-2025-1059</t>
        </is>
      </c>
      <c r="B60" s="85" t="inlineStr">
        <is>
          <t>EVT-2025-021</t>
        </is>
      </c>
      <c r="C60" s="86" t="inlineStr">
        <is>
          <t>Prime Hospitality Group</t>
        </is>
      </c>
      <c r="D60" s="86" t="inlineStr">
        <is>
          <t>Hotel &amp; Venue</t>
        </is>
      </c>
      <c r="E60" s="164" t="n">
        <v>45765</v>
      </c>
      <c r="F60" s="164" t="n">
        <v>45768</v>
      </c>
      <c r="G60" s="90">
        <f>F60-E60</f>
        <v/>
      </c>
      <c r="H60" s="87" t="n">
        <v>7351.59</v>
      </c>
      <c r="I60" s="85" t="inlineStr">
        <is>
          <t>EUR</t>
        </is>
      </c>
      <c r="J60" s="85" t="inlineStr">
        <is>
          <t>CC-3938</t>
        </is>
      </c>
      <c r="K60" s="85" t="inlineStr">
        <is>
          <t>GL-6311</t>
        </is>
      </c>
      <c r="L60" s="116" t="inlineStr">
        <is>
          <t>Closed</t>
        </is>
      </c>
      <c r="M60" s="85" t="inlineStr">
        <is>
          <t>INV-01059</t>
        </is>
      </c>
      <c r="N60" s="88" t="inlineStr">
        <is>
          <t>Approved</t>
        </is>
      </c>
      <c r="O60" s="164" t="n">
        <v>45838</v>
      </c>
      <c r="P60" s="90" t="n">
        <v>0</v>
      </c>
      <c r="Q60" s="86" t="inlineStr">
        <is>
          <t>Ana García</t>
        </is>
      </c>
      <c r="R60" s="86" t="inlineStr">
        <is>
          <t>Emma Johansson</t>
        </is>
      </c>
      <c r="S60" s="86" t="inlineStr"/>
    </row>
    <row r="61" ht="18" customHeight="1">
      <c r="A61" s="115" t="inlineStr">
        <is>
          <t>PO-2025-1060</t>
        </is>
      </c>
      <c r="B61" s="71" t="inlineStr">
        <is>
          <t>EVT-2025-021</t>
        </is>
      </c>
      <c r="C61" s="70" t="inlineStr">
        <is>
          <t>MedAudio AV Solutions</t>
        </is>
      </c>
      <c r="D61" s="70" t="inlineStr">
        <is>
          <t>AV &amp; Technology</t>
        </is>
      </c>
      <c r="E61" s="157" t="n">
        <v>45817</v>
      </c>
      <c r="F61" s="157" t="n">
        <v>45827</v>
      </c>
      <c r="G61" s="91">
        <f>F61-E61</f>
        <v/>
      </c>
      <c r="H61" s="73" t="n">
        <v>27627.65</v>
      </c>
      <c r="I61" s="71" t="inlineStr">
        <is>
          <t>EUR</t>
        </is>
      </c>
      <c r="J61" s="71" t="inlineStr">
        <is>
          <t>CC-5625</t>
        </is>
      </c>
      <c r="K61" s="71" t="inlineStr">
        <is>
          <t>GL-6330</t>
        </is>
      </c>
      <c r="L61" s="69" t="inlineStr">
        <is>
          <t>Approved</t>
        </is>
      </c>
      <c r="M61" s="71" t="inlineStr">
        <is>
          <t>INV-01060</t>
        </is>
      </c>
      <c r="N61" s="93" t="inlineStr">
        <is>
          <t>Overdue</t>
        </is>
      </c>
      <c r="O61" s="157" t="n">
        <v>45851</v>
      </c>
      <c r="P61" s="94" t="n">
        <v>346</v>
      </c>
      <c r="Q61" s="70" t="inlineStr">
        <is>
          <t>Lucas Dupont</t>
        </is>
      </c>
      <c r="R61" s="70" t="inlineStr">
        <is>
          <t>Marco Bianchi</t>
        </is>
      </c>
      <c r="S61" s="70" t="inlineStr"/>
    </row>
    <row r="62" ht="18" customHeight="1">
      <c r="A62" s="114" t="inlineStr">
        <is>
          <t>PO-2025-1061</t>
        </is>
      </c>
      <c r="B62" s="85" t="inlineStr">
        <is>
          <t>EVT-2025-021</t>
        </is>
      </c>
      <c r="C62" s="86" t="inlineStr">
        <is>
          <t>Venue Masters EMEA</t>
        </is>
      </c>
      <c r="D62" s="86" t="inlineStr">
        <is>
          <t>Venue Sourcing</t>
        </is>
      </c>
      <c r="E62" s="164" t="n">
        <v>45786</v>
      </c>
      <c r="F62" s="164" t="n">
        <v>45796</v>
      </c>
      <c r="G62" s="90">
        <f>F62-E62</f>
        <v/>
      </c>
      <c r="H62" s="87" t="n">
        <v>78754.19</v>
      </c>
      <c r="I62" s="85" t="inlineStr">
        <is>
          <t>EUR</t>
        </is>
      </c>
      <c r="J62" s="85" t="inlineStr">
        <is>
          <t>CC-1130</t>
        </is>
      </c>
      <c r="K62" s="85" t="inlineStr">
        <is>
          <t>GL-6312</t>
        </is>
      </c>
      <c r="L62" s="76" t="inlineStr">
        <is>
          <t>Pending Approval</t>
        </is>
      </c>
      <c r="M62" s="85" t="inlineStr"/>
      <c r="N62" s="96" t="inlineStr">
        <is>
          <t>Cancelled</t>
        </is>
      </c>
      <c r="O62" s="164" t="n">
        <v>45851</v>
      </c>
      <c r="P62" s="90" t="n">
        <v>0</v>
      </c>
      <c r="Q62" s="86" t="inlineStr">
        <is>
          <t>Isabel Ferreira</t>
        </is>
      </c>
      <c r="R62" s="86" t="inlineStr">
        <is>
          <t>David O'Brien</t>
        </is>
      </c>
      <c r="S62" s="86" t="inlineStr"/>
    </row>
    <row r="63" ht="18" customHeight="1">
      <c r="A63" s="115" t="inlineStr">
        <is>
          <t>PO-2025-1062</t>
        </is>
      </c>
      <c r="B63" s="71" t="inlineStr">
        <is>
          <t>EVT-2025-022</t>
        </is>
      </c>
      <c r="C63" s="70" t="inlineStr">
        <is>
          <t>Compliance Expert Ltd</t>
        </is>
      </c>
      <c r="D63" s="70" t="inlineStr">
        <is>
          <t>Compliance &amp; Legal</t>
        </is>
      </c>
      <c r="E63" s="157" t="n">
        <v>45570</v>
      </c>
      <c r="F63" s="157" t="n">
        <v>45577</v>
      </c>
      <c r="G63" s="91">
        <f>F63-E63</f>
        <v/>
      </c>
      <c r="H63" s="73" t="n">
        <v>12280.65</v>
      </c>
      <c r="I63" s="71" t="inlineStr">
        <is>
          <t>EUR</t>
        </is>
      </c>
      <c r="J63" s="71" t="inlineStr">
        <is>
          <t>CC-4974</t>
        </is>
      </c>
      <c r="K63" s="71" t="inlineStr">
        <is>
          <t>GL-6315</t>
        </is>
      </c>
      <c r="L63" s="69" t="inlineStr">
        <is>
          <t>Approved</t>
        </is>
      </c>
      <c r="M63" s="71" t="inlineStr">
        <is>
          <t>INV-01062</t>
        </is>
      </c>
      <c r="N63" s="88" t="inlineStr">
        <is>
          <t>Approved</t>
        </is>
      </c>
      <c r="O63" s="157" t="n">
        <v>45650</v>
      </c>
      <c r="P63" s="91" t="n">
        <v>0</v>
      </c>
      <c r="Q63" s="70" t="inlineStr">
        <is>
          <t>David O'Brien</t>
        </is>
      </c>
      <c r="R63" s="70" t="inlineStr">
        <is>
          <t>Carlos Navarro</t>
        </is>
      </c>
      <c r="S63" s="70" t="inlineStr"/>
    </row>
    <row r="64" ht="18" customHeight="1">
      <c r="A64" s="114" t="inlineStr">
        <is>
          <t>PO-2025-1063</t>
        </is>
      </c>
      <c r="B64" s="85" t="inlineStr">
        <is>
          <t>EVT-2025-023</t>
        </is>
      </c>
      <c r="C64" s="86" t="inlineStr">
        <is>
          <t>AVIAWORLD Travel</t>
        </is>
      </c>
      <c r="D64" s="86" t="inlineStr">
        <is>
          <t>Travel &amp; Air</t>
        </is>
      </c>
      <c r="E64" s="164" t="n">
        <v>45725</v>
      </c>
      <c r="F64" s="164" t="n">
        <v>45731</v>
      </c>
      <c r="G64" s="90">
        <f>F64-E64</f>
        <v/>
      </c>
      <c r="H64" s="87" t="n">
        <v>59854.01</v>
      </c>
      <c r="I64" s="85" t="inlineStr">
        <is>
          <t>EUR</t>
        </is>
      </c>
      <c r="J64" s="85" t="inlineStr">
        <is>
          <t>CC-9954</t>
        </is>
      </c>
      <c r="K64" s="85" t="inlineStr">
        <is>
          <t>GL-6330</t>
        </is>
      </c>
      <c r="L64" s="76" t="inlineStr">
        <is>
          <t>Pending Approval</t>
        </is>
      </c>
      <c r="M64" s="85" t="inlineStr"/>
      <c r="N64" s="96" t="inlineStr">
        <is>
          <t>Pending</t>
        </is>
      </c>
      <c r="O64" s="164" t="n">
        <v>45804</v>
      </c>
      <c r="P64" s="90" t="n">
        <v>0</v>
      </c>
      <c r="Q64" s="86" t="inlineStr">
        <is>
          <t>Sophie Müller</t>
        </is>
      </c>
      <c r="R64" s="86" t="inlineStr">
        <is>
          <t>Ana García</t>
        </is>
      </c>
      <c r="S64" s="86" t="inlineStr"/>
    </row>
    <row r="65" ht="18" customHeight="1">
      <c r="A65" s="115" t="inlineStr">
        <is>
          <t>PO-2025-1064</t>
        </is>
      </c>
      <c r="B65" s="71" t="inlineStr">
        <is>
          <t>EVT-2025-023</t>
        </is>
      </c>
      <c r="C65" s="70" t="inlineStr">
        <is>
          <t>MedAudio AV Solutions</t>
        </is>
      </c>
      <c r="D65" s="70" t="inlineStr">
        <is>
          <t>AV &amp; Technology</t>
        </is>
      </c>
      <c r="E65" s="157" t="n">
        <v>45713</v>
      </c>
      <c r="F65" s="157" t="n">
        <v>45722</v>
      </c>
      <c r="G65" s="91">
        <f>F65-E65</f>
        <v/>
      </c>
      <c r="H65" s="73" t="n">
        <v>30239.04</v>
      </c>
      <c r="I65" s="71" t="inlineStr">
        <is>
          <t>EUR</t>
        </is>
      </c>
      <c r="J65" s="71" t="inlineStr">
        <is>
          <t>CC-1391</t>
        </is>
      </c>
      <c r="K65" s="71" t="inlineStr">
        <is>
          <t>GL-6311</t>
        </is>
      </c>
      <c r="L65" s="116" t="inlineStr">
        <is>
          <t>Closed</t>
        </is>
      </c>
      <c r="M65" s="71" t="inlineStr">
        <is>
          <t>INV-01064</t>
        </is>
      </c>
      <c r="N65" s="93" t="inlineStr">
        <is>
          <t>Overdue</t>
        </is>
      </c>
      <c r="O65" s="157" t="n">
        <v>45802</v>
      </c>
      <c r="P65" s="94" t="n">
        <v>395</v>
      </c>
      <c r="Q65" s="70" t="inlineStr">
        <is>
          <t>Lucas Dupont</t>
        </is>
      </c>
      <c r="R65" s="70" t="inlineStr">
        <is>
          <t>Maria Kowalski</t>
        </is>
      </c>
      <c r="S65" s="70" t="inlineStr"/>
    </row>
    <row r="66" ht="18" customHeight="1">
      <c r="A66" s="114" t="inlineStr">
        <is>
          <t>PO-2025-1065</t>
        </is>
      </c>
      <c r="B66" s="85" t="inlineStr">
        <is>
          <t>EVT-2025-023</t>
        </is>
      </c>
      <c r="C66" s="86" t="inlineStr">
        <is>
          <t>Catering Excellence</t>
        </is>
      </c>
      <c r="D66" s="86" t="inlineStr">
        <is>
          <t>F&amp;B / Catering</t>
        </is>
      </c>
      <c r="E66" s="164" t="n">
        <v>45716</v>
      </c>
      <c r="F66" s="164" t="n">
        <v>45719</v>
      </c>
      <c r="G66" s="90">
        <f>F66-E66</f>
        <v/>
      </c>
      <c r="H66" s="87" t="n">
        <v>5382.47</v>
      </c>
      <c r="I66" s="85" t="inlineStr">
        <is>
          <t>EUR</t>
        </is>
      </c>
      <c r="J66" s="85" t="inlineStr">
        <is>
          <t>CC-6488</t>
        </is>
      </c>
      <c r="K66" s="85" t="inlineStr">
        <is>
          <t>GL-6310</t>
        </is>
      </c>
      <c r="L66" s="93" t="inlineStr">
        <is>
          <t>Cancelled</t>
        </is>
      </c>
      <c r="M66" s="85" t="inlineStr">
        <is>
          <t>INV-01065</t>
        </is>
      </c>
      <c r="N66" s="69" t="inlineStr">
        <is>
          <t>Paid</t>
        </is>
      </c>
      <c r="O66" s="164" t="n">
        <v>45799</v>
      </c>
      <c r="P66" s="90" t="n">
        <v>0</v>
      </c>
      <c r="Q66" s="86" t="inlineStr">
        <is>
          <t>Emma Johansson</t>
        </is>
      </c>
      <c r="R66" s="86" t="inlineStr">
        <is>
          <t>Thomas Dubois</t>
        </is>
      </c>
      <c r="S66" s="86" t="inlineStr"/>
    </row>
    <row r="67" ht="18" customHeight="1">
      <c r="A67" s="115" t="inlineStr">
        <is>
          <t>PO-2025-1066</t>
        </is>
      </c>
      <c r="B67" s="71" t="inlineStr">
        <is>
          <t>EVT-2025-024</t>
        </is>
      </c>
      <c r="C67" s="70" t="inlineStr">
        <is>
          <t>AVIAWORLD Travel</t>
        </is>
      </c>
      <c r="D67" s="70" t="inlineStr">
        <is>
          <t>Travel &amp; Air</t>
        </is>
      </c>
      <c r="E67" s="157" t="n">
        <v>45857</v>
      </c>
      <c r="F67" s="157" t="n">
        <v>45864</v>
      </c>
      <c r="G67" s="91">
        <f>F67-E67</f>
        <v/>
      </c>
      <c r="H67" s="73" t="n">
        <v>68089.28999999999</v>
      </c>
      <c r="I67" s="71" t="inlineStr">
        <is>
          <t>EUR</t>
        </is>
      </c>
      <c r="J67" s="71" t="inlineStr">
        <is>
          <t>CC-2703</t>
        </is>
      </c>
      <c r="K67" s="71" t="inlineStr">
        <is>
          <t>GL-6311</t>
        </is>
      </c>
      <c r="L67" s="116" t="inlineStr">
        <is>
          <t>Closed</t>
        </is>
      </c>
      <c r="M67" s="71" t="inlineStr">
        <is>
          <t>INV-01066</t>
        </is>
      </c>
      <c r="N67" s="69" t="inlineStr">
        <is>
          <t>Paid</t>
        </is>
      </c>
      <c r="O67" s="157" t="n">
        <v>45933</v>
      </c>
      <c r="P67" s="91" t="n">
        <v>0</v>
      </c>
      <c r="Q67" s="70" t="inlineStr">
        <is>
          <t>James Wilson</t>
        </is>
      </c>
      <c r="R67" s="70" t="inlineStr">
        <is>
          <t>Emma Johansson</t>
        </is>
      </c>
      <c r="S67" s="70" t="inlineStr"/>
    </row>
    <row r="68" ht="18" customHeight="1">
      <c r="A68" s="114" t="inlineStr">
        <is>
          <t>PO-2025-1067</t>
        </is>
      </c>
      <c r="B68" s="85" t="inlineStr">
        <is>
          <t>EVT-2025-025</t>
        </is>
      </c>
      <c r="C68" s="86" t="inlineStr">
        <is>
          <t>InterCongress PCO</t>
        </is>
      </c>
      <c r="D68" s="86" t="inlineStr">
        <is>
          <t>PCO / Event Agency</t>
        </is>
      </c>
      <c r="E68" s="164" t="n">
        <v>45752</v>
      </c>
      <c r="F68" s="164" t="n">
        <v>45755</v>
      </c>
      <c r="G68" s="90">
        <f>F68-E68</f>
        <v/>
      </c>
      <c r="H68" s="87" t="n">
        <v>11842.94</v>
      </c>
      <c r="I68" s="85" t="inlineStr">
        <is>
          <t>EUR</t>
        </is>
      </c>
      <c r="J68" s="85" t="inlineStr">
        <is>
          <t>CC-3332</t>
        </is>
      </c>
      <c r="K68" s="85" t="inlineStr">
        <is>
          <t>GL-6325</t>
        </is>
      </c>
      <c r="L68" s="69" t="inlineStr">
        <is>
          <t>Approved</t>
        </is>
      </c>
      <c r="M68" s="85" t="inlineStr"/>
      <c r="N68" s="93" t="inlineStr">
        <is>
          <t>Overdue</t>
        </is>
      </c>
      <c r="O68" s="164" t="n">
        <v>45813</v>
      </c>
      <c r="P68" s="94" t="n">
        <v>384</v>
      </c>
      <c r="Q68" s="86" t="inlineStr">
        <is>
          <t>Marco Bianchi</t>
        </is>
      </c>
      <c r="R68" s="86" t="inlineStr">
        <is>
          <t>Ana García</t>
        </is>
      </c>
      <c r="S68" s="86" t="inlineStr"/>
    </row>
    <row r="69" ht="18" customHeight="1">
      <c r="A69" s="115" t="inlineStr">
        <is>
          <t>PO-2025-1068</t>
        </is>
      </c>
      <c r="B69" s="71" t="inlineStr">
        <is>
          <t>EVT-2025-025</t>
        </is>
      </c>
      <c r="C69" s="70" t="inlineStr">
        <is>
          <t>HealthMarketing Group</t>
        </is>
      </c>
      <c r="D69" s="70" t="inlineStr">
        <is>
          <t>Marketing Agency</t>
        </is>
      </c>
      <c r="E69" s="157" t="n">
        <v>45728</v>
      </c>
      <c r="F69" s="157" t="n">
        <v>45734</v>
      </c>
      <c r="G69" s="91">
        <f>F69-E69</f>
        <v/>
      </c>
      <c r="H69" s="73" t="n">
        <v>79580.96000000001</v>
      </c>
      <c r="I69" s="71" t="inlineStr">
        <is>
          <t>EUR</t>
        </is>
      </c>
      <c r="J69" s="71" t="inlineStr">
        <is>
          <t>CC-9515</t>
        </is>
      </c>
      <c r="K69" s="71" t="inlineStr">
        <is>
          <t>GL-6315</t>
        </is>
      </c>
      <c r="L69" s="93" t="inlineStr">
        <is>
          <t>Cancelled</t>
        </is>
      </c>
      <c r="M69" s="71" t="inlineStr">
        <is>
          <t>INV-01068</t>
        </is>
      </c>
      <c r="N69" s="93" t="inlineStr">
        <is>
          <t>Overdue</t>
        </is>
      </c>
      <c r="O69" s="157" t="n">
        <v>45816</v>
      </c>
      <c r="P69" s="94" t="n">
        <v>381</v>
      </c>
      <c r="Q69" s="70" t="inlineStr">
        <is>
          <t>Lucas Dupont</t>
        </is>
      </c>
      <c r="R69" s="70" t="inlineStr">
        <is>
          <t>Carlos Navarro</t>
        </is>
      </c>
      <c r="S69" s="70" t="inlineStr"/>
    </row>
    <row r="70" ht="18" customHeight="1">
      <c r="A70" s="114" t="inlineStr">
        <is>
          <t>PO-2025-1069</t>
        </is>
      </c>
      <c r="B70" s="85" t="inlineStr">
        <is>
          <t>EVT-2025-025</t>
        </is>
      </c>
      <c r="C70" s="86" t="inlineStr">
        <is>
          <t>PharmaLogix</t>
        </is>
      </c>
      <c r="D70" s="86" t="inlineStr">
        <is>
          <t>Logistics &amp; Transport</t>
        </is>
      </c>
      <c r="E70" s="164" t="n">
        <v>45752</v>
      </c>
      <c r="F70" s="164" t="n">
        <v>45756</v>
      </c>
      <c r="G70" s="90">
        <f>F70-E70</f>
        <v/>
      </c>
      <c r="H70" s="87" t="n">
        <v>63861.5</v>
      </c>
      <c r="I70" s="85" t="inlineStr">
        <is>
          <t>EUR</t>
        </is>
      </c>
      <c r="J70" s="85" t="inlineStr">
        <is>
          <t>CC-2565</t>
        </is>
      </c>
      <c r="K70" s="85" t="inlineStr">
        <is>
          <t>GL-6320</t>
        </is>
      </c>
      <c r="L70" s="76" t="inlineStr">
        <is>
          <t>Pending Approval</t>
        </is>
      </c>
      <c r="M70" s="85" t="inlineStr">
        <is>
          <t>INV-01069</t>
        </is>
      </c>
      <c r="N70" s="76" t="inlineStr">
        <is>
          <t>Disputed</t>
        </is>
      </c>
      <c r="O70" s="164" t="n">
        <v>45829</v>
      </c>
      <c r="P70" s="90" t="n">
        <v>0</v>
      </c>
      <c r="Q70" s="86" t="inlineStr">
        <is>
          <t>Maria Kowalski</t>
        </is>
      </c>
      <c r="R70" s="86" t="inlineStr">
        <is>
          <t>Emma Johansson</t>
        </is>
      </c>
      <c r="S70" s="86" t="inlineStr"/>
    </row>
    <row r="71" ht="18" customHeight="1">
      <c r="A71" s="115" t="inlineStr">
        <is>
          <t>PO-2025-1070</t>
        </is>
      </c>
      <c r="B71" s="71" t="inlineStr">
        <is>
          <t>EVT-2025-025</t>
        </is>
      </c>
      <c r="C71" s="70" t="inlineStr">
        <is>
          <t>DigitalPharma Studio</t>
        </is>
      </c>
      <c r="D71" s="70" t="inlineStr">
        <is>
          <t>Digital &amp; Web</t>
        </is>
      </c>
      <c r="E71" s="157" t="n">
        <v>45785</v>
      </c>
      <c r="F71" s="157" t="n">
        <v>45788</v>
      </c>
      <c r="G71" s="91">
        <f>F71-E71</f>
        <v/>
      </c>
      <c r="H71" s="73" t="n">
        <v>69508.39999999999</v>
      </c>
      <c r="I71" s="71" t="inlineStr">
        <is>
          <t>EUR</t>
        </is>
      </c>
      <c r="J71" s="71" t="inlineStr">
        <is>
          <t>CC-8126</t>
        </is>
      </c>
      <c r="K71" s="71" t="inlineStr">
        <is>
          <t>GL-6325</t>
        </is>
      </c>
      <c r="L71" s="76" t="inlineStr">
        <is>
          <t>Pending Approval</t>
        </is>
      </c>
      <c r="M71" s="71" t="inlineStr">
        <is>
          <t>INV-01070</t>
        </is>
      </c>
      <c r="N71" s="88" t="inlineStr">
        <is>
          <t>Approved</t>
        </is>
      </c>
      <c r="O71" s="157" t="n">
        <v>45819</v>
      </c>
      <c r="P71" s="91" t="n">
        <v>0</v>
      </c>
      <c r="Q71" s="70" t="inlineStr">
        <is>
          <t>James Wilson</t>
        </is>
      </c>
      <c r="R71" s="70" t="inlineStr">
        <is>
          <t>Isabel Ferreira</t>
        </is>
      </c>
      <c r="S71" s="70" t="inlineStr"/>
    </row>
    <row r="72" ht="18" customHeight="1">
      <c r="A72" s="114" t="inlineStr">
        <is>
          <t>PO-2025-1071</t>
        </is>
      </c>
      <c r="B72" s="85" t="inlineStr">
        <is>
          <t>EVT-2025-026</t>
        </is>
      </c>
      <c r="C72" s="86" t="inlineStr">
        <is>
          <t>TechEvent Systems</t>
        </is>
      </c>
      <c r="D72" s="86" t="inlineStr">
        <is>
          <t>Registration &amp; Tech</t>
        </is>
      </c>
      <c r="E72" s="164" t="n">
        <v>45647</v>
      </c>
      <c r="F72" s="164" t="n">
        <v>45655</v>
      </c>
      <c r="G72" s="90">
        <f>F72-E72</f>
        <v/>
      </c>
      <c r="H72" s="87" t="n">
        <v>9416.700000000001</v>
      </c>
      <c r="I72" s="85" t="inlineStr">
        <is>
          <t>EUR</t>
        </is>
      </c>
      <c r="J72" s="85" t="inlineStr">
        <is>
          <t>CC-7438</t>
        </is>
      </c>
      <c r="K72" s="85" t="inlineStr">
        <is>
          <t>GL-6325</t>
        </is>
      </c>
      <c r="L72" s="93" t="inlineStr">
        <is>
          <t>Cancelled</t>
        </is>
      </c>
      <c r="M72" s="85" t="inlineStr">
        <is>
          <t>INV-01071</t>
        </is>
      </c>
      <c r="N72" s="95" t="inlineStr">
        <is>
          <t>Invoiced</t>
        </is>
      </c>
      <c r="O72" s="164" t="n">
        <v>45693</v>
      </c>
      <c r="P72" s="90" t="n">
        <v>0</v>
      </c>
      <c r="Q72" s="86" t="inlineStr">
        <is>
          <t>Lucas Dupont</t>
        </is>
      </c>
      <c r="R72" s="86" t="inlineStr">
        <is>
          <t>Lucas Dupont</t>
        </is>
      </c>
      <c r="S72" s="86" t="inlineStr"/>
    </row>
    <row r="73" ht="18" customHeight="1">
      <c r="A73" s="115" t="inlineStr">
        <is>
          <t>PO-2025-1072</t>
        </is>
      </c>
      <c r="B73" s="71" t="inlineStr">
        <is>
          <t>EVT-2025-026</t>
        </is>
      </c>
      <c r="C73" s="70" t="inlineStr">
        <is>
          <t>Translingua Pro</t>
        </is>
      </c>
      <c r="D73" s="70" t="inlineStr">
        <is>
          <t>Translation &amp; Interpretation</t>
        </is>
      </c>
      <c r="E73" s="157" t="n">
        <v>45633</v>
      </c>
      <c r="F73" s="157" t="n">
        <v>45640</v>
      </c>
      <c r="G73" s="91">
        <f>F73-E73</f>
        <v/>
      </c>
      <c r="H73" s="73" t="n">
        <v>55572.04</v>
      </c>
      <c r="I73" s="71" t="inlineStr">
        <is>
          <t>EUR</t>
        </is>
      </c>
      <c r="J73" s="71" t="inlineStr">
        <is>
          <t>CC-4827</t>
        </is>
      </c>
      <c r="K73" s="71" t="inlineStr">
        <is>
          <t>GL-6310</t>
        </is>
      </c>
      <c r="L73" s="76" t="inlineStr">
        <is>
          <t>Pending Approval</t>
        </is>
      </c>
      <c r="M73" s="71" t="inlineStr">
        <is>
          <t>INV-01072</t>
        </is>
      </c>
      <c r="N73" s="96" t="inlineStr">
        <is>
          <t>Cancelled</t>
        </is>
      </c>
      <c r="O73" s="157" t="n">
        <v>45691</v>
      </c>
      <c r="P73" s="91" t="n">
        <v>0</v>
      </c>
      <c r="Q73" s="70" t="inlineStr">
        <is>
          <t>Sophie Müller</t>
        </is>
      </c>
      <c r="R73" s="70" t="inlineStr">
        <is>
          <t>David O'Brien</t>
        </is>
      </c>
      <c r="S73" s="70" t="inlineStr"/>
    </row>
    <row r="74" ht="18" customHeight="1">
      <c r="A74" s="114" t="inlineStr">
        <is>
          <t>PO-2025-1073</t>
        </is>
      </c>
      <c r="B74" s="85" t="inlineStr">
        <is>
          <t>EVT-2025-026</t>
        </is>
      </c>
      <c r="C74" s="86" t="inlineStr">
        <is>
          <t>MedComm Agency</t>
        </is>
      </c>
      <c r="D74" s="86" t="inlineStr">
        <is>
          <t>Medical Communication</t>
        </is>
      </c>
      <c r="E74" s="164" t="n">
        <v>45647</v>
      </c>
      <c r="F74" s="164" t="n">
        <v>45652</v>
      </c>
      <c r="G74" s="90">
        <f>F74-E74</f>
        <v/>
      </c>
      <c r="H74" s="87" t="n">
        <v>9532.030000000001</v>
      </c>
      <c r="I74" s="85" t="inlineStr">
        <is>
          <t>EUR</t>
        </is>
      </c>
      <c r="J74" s="85" t="inlineStr">
        <is>
          <t>CC-2731</t>
        </is>
      </c>
      <c r="K74" s="85" t="inlineStr">
        <is>
          <t>GL-6311</t>
        </is>
      </c>
      <c r="L74" s="88" t="inlineStr">
        <is>
          <t>Sent to Supplier</t>
        </is>
      </c>
      <c r="M74" s="85" t="inlineStr"/>
      <c r="N74" s="88" t="inlineStr">
        <is>
          <t>Approved</t>
        </is>
      </c>
      <c r="O74" s="164" t="n">
        <v>45683</v>
      </c>
      <c r="P74" s="90" t="n">
        <v>0</v>
      </c>
      <c r="Q74" s="86" t="inlineStr">
        <is>
          <t>Carlos Navarro</t>
        </is>
      </c>
      <c r="R74" s="86" t="inlineStr">
        <is>
          <t>Lucas Dupont</t>
        </is>
      </c>
      <c r="S74" s="86" t="inlineStr"/>
    </row>
    <row r="75" ht="18" customHeight="1">
      <c r="A75" s="115" t="inlineStr">
        <is>
          <t>PO-2025-1074</t>
        </is>
      </c>
      <c r="B75" s="71" t="inlineStr">
        <is>
          <t>EVT-2025-027</t>
        </is>
      </c>
      <c r="C75" s="70" t="inlineStr">
        <is>
          <t>DigitalPharma Studio</t>
        </is>
      </c>
      <c r="D75" s="70" t="inlineStr">
        <is>
          <t>Digital &amp; Web</t>
        </is>
      </c>
      <c r="E75" s="157" t="n">
        <v>45701</v>
      </c>
      <c r="F75" s="157" t="n">
        <v>45705</v>
      </c>
      <c r="G75" s="91">
        <f>F75-E75</f>
        <v/>
      </c>
      <c r="H75" s="73" t="n">
        <v>45811.3</v>
      </c>
      <c r="I75" s="71" t="inlineStr">
        <is>
          <t>EUR</t>
        </is>
      </c>
      <c r="J75" s="71" t="inlineStr">
        <is>
          <t>CC-9780</t>
        </is>
      </c>
      <c r="K75" s="71" t="inlineStr">
        <is>
          <t>GL-6312</t>
        </is>
      </c>
      <c r="L75" s="76" t="inlineStr">
        <is>
          <t>Pending Approval</t>
        </is>
      </c>
      <c r="M75" s="71" t="inlineStr">
        <is>
          <t>INV-01074</t>
        </is>
      </c>
      <c r="N75" s="95" t="inlineStr">
        <is>
          <t>Invoiced</t>
        </is>
      </c>
      <c r="O75" s="157" t="n">
        <v>45757</v>
      </c>
      <c r="P75" s="91" t="n">
        <v>0</v>
      </c>
      <c r="Q75" s="70" t="inlineStr">
        <is>
          <t>Carlos Navarro</t>
        </is>
      </c>
      <c r="R75" s="70" t="inlineStr">
        <is>
          <t>Isabel Ferreira</t>
        </is>
      </c>
      <c r="S75" s="70" t="inlineStr"/>
    </row>
    <row r="76" ht="18" customHeight="1">
      <c r="A76" s="114" t="inlineStr">
        <is>
          <t>PO-2025-1075</t>
        </is>
      </c>
      <c r="B76" s="85" t="inlineStr">
        <is>
          <t>EVT-2025-028</t>
        </is>
      </c>
      <c r="C76" s="86" t="inlineStr">
        <is>
          <t>TechEvent Systems</t>
        </is>
      </c>
      <c r="D76" s="86" t="inlineStr">
        <is>
          <t>Registration &amp; Tech</t>
        </is>
      </c>
      <c r="E76" s="164" t="n">
        <v>45782</v>
      </c>
      <c r="F76" s="164" t="n">
        <v>45789</v>
      </c>
      <c r="G76" s="90">
        <f>F76-E76</f>
        <v/>
      </c>
      <c r="H76" s="87" t="n">
        <v>29428.4</v>
      </c>
      <c r="I76" s="85" t="inlineStr">
        <is>
          <t>EUR</t>
        </is>
      </c>
      <c r="J76" s="85" t="inlineStr">
        <is>
          <t>CC-2964</t>
        </is>
      </c>
      <c r="K76" s="85" t="inlineStr">
        <is>
          <t>GL-6310</t>
        </is>
      </c>
      <c r="L76" s="76" t="inlineStr">
        <is>
          <t>Pending Approval</t>
        </is>
      </c>
      <c r="M76" s="85" t="inlineStr">
        <is>
          <t>INV-01075</t>
        </is>
      </c>
      <c r="N76" s="88" t="inlineStr">
        <is>
          <t>Approved</t>
        </is>
      </c>
      <c r="O76" s="164" t="n">
        <v>45841</v>
      </c>
      <c r="P76" s="90" t="n">
        <v>0</v>
      </c>
      <c r="Q76" s="86" t="inlineStr">
        <is>
          <t>Maria Kowalski</t>
        </is>
      </c>
      <c r="R76" s="86" t="inlineStr">
        <is>
          <t>Isabel Ferreira</t>
        </is>
      </c>
      <c r="S76" s="86" t="inlineStr"/>
    </row>
    <row r="77" ht="18" customHeight="1">
      <c r="A77" s="115" t="inlineStr">
        <is>
          <t>PO-2025-1076</t>
        </is>
      </c>
      <c r="B77" s="71" t="inlineStr">
        <is>
          <t>EVT-2025-028</t>
        </is>
      </c>
      <c r="C77" s="70" t="inlineStr">
        <is>
          <t>KOL Connect</t>
        </is>
      </c>
      <c r="D77" s="70" t="inlineStr">
        <is>
          <t>Speaker Management</t>
        </is>
      </c>
      <c r="E77" s="157" t="n">
        <v>45766</v>
      </c>
      <c r="F77" s="157" t="n">
        <v>45769</v>
      </c>
      <c r="G77" s="91">
        <f>F77-E77</f>
        <v/>
      </c>
      <c r="H77" s="73" t="n">
        <v>68087.44</v>
      </c>
      <c r="I77" s="71" t="inlineStr">
        <is>
          <t>EUR</t>
        </is>
      </c>
      <c r="J77" s="71" t="inlineStr">
        <is>
          <t>CC-4522</t>
        </is>
      </c>
      <c r="K77" s="71" t="inlineStr">
        <is>
          <t>GL-6330</t>
        </is>
      </c>
      <c r="L77" s="69" t="inlineStr">
        <is>
          <t>Approved</t>
        </is>
      </c>
      <c r="M77" s="71" t="inlineStr">
        <is>
          <t>INV-01076</t>
        </is>
      </c>
      <c r="N77" s="95" t="inlineStr">
        <is>
          <t>Invoiced</t>
        </is>
      </c>
      <c r="O77" s="157" t="n">
        <v>45848</v>
      </c>
      <c r="P77" s="91" t="n">
        <v>0</v>
      </c>
      <c r="Q77" s="70" t="inlineStr">
        <is>
          <t>Sophie Müller</t>
        </is>
      </c>
      <c r="R77" s="70" t="inlineStr">
        <is>
          <t>Marco Bianchi</t>
        </is>
      </c>
      <c r="S77" s="70" t="inlineStr"/>
    </row>
    <row r="78" ht="18" customHeight="1">
      <c r="A78" s="114" t="inlineStr">
        <is>
          <t>PO-2025-1077</t>
        </is>
      </c>
      <c r="B78" s="85" t="inlineStr">
        <is>
          <t>EVT-2025-028</t>
        </is>
      </c>
      <c r="C78" s="86" t="inlineStr">
        <is>
          <t>AVIAWORLD Travel</t>
        </is>
      </c>
      <c r="D78" s="86" t="inlineStr">
        <is>
          <t>Travel &amp; Air</t>
        </is>
      </c>
      <c r="E78" s="164" t="n">
        <v>45771</v>
      </c>
      <c r="F78" s="164" t="n">
        <v>45777</v>
      </c>
      <c r="G78" s="90">
        <f>F78-E78</f>
        <v/>
      </c>
      <c r="H78" s="87" t="n">
        <v>46779.8</v>
      </c>
      <c r="I78" s="85" t="inlineStr">
        <is>
          <t>EUR</t>
        </is>
      </c>
      <c r="J78" s="85" t="inlineStr">
        <is>
          <t>CC-6828</t>
        </is>
      </c>
      <c r="K78" s="85" t="inlineStr">
        <is>
          <t>GL-6315</t>
        </is>
      </c>
      <c r="L78" s="116" t="inlineStr">
        <is>
          <t>Closed</t>
        </is>
      </c>
      <c r="M78" s="85" t="inlineStr">
        <is>
          <t>INV-01077</t>
        </is>
      </c>
      <c r="N78" s="96" t="inlineStr">
        <is>
          <t>Cancelled</t>
        </is>
      </c>
      <c r="O78" s="164" t="n">
        <v>45846</v>
      </c>
      <c r="P78" s="90" t="n">
        <v>0</v>
      </c>
      <c r="Q78" s="86" t="inlineStr">
        <is>
          <t>Ana García</t>
        </is>
      </c>
      <c r="R78" s="86" t="inlineStr">
        <is>
          <t>Maria Kowalski</t>
        </is>
      </c>
      <c r="S78" s="86" t="inlineStr"/>
    </row>
    <row r="79" ht="18" customHeight="1">
      <c r="A79" s="115" t="inlineStr">
        <is>
          <t>PO-2025-1078</t>
        </is>
      </c>
      <c r="B79" s="71" t="inlineStr">
        <is>
          <t>EVT-2025-028</t>
        </is>
      </c>
      <c r="C79" s="70" t="inlineStr">
        <is>
          <t>Catering Excellence</t>
        </is>
      </c>
      <c r="D79" s="70" t="inlineStr">
        <is>
          <t>F&amp;B / Catering</t>
        </is>
      </c>
      <c r="E79" s="157" t="n">
        <v>45793</v>
      </c>
      <c r="F79" s="157" t="n">
        <v>45800</v>
      </c>
      <c r="G79" s="91">
        <f>F79-E79</f>
        <v/>
      </c>
      <c r="H79" s="73" t="n">
        <v>54648.18</v>
      </c>
      <c r="I79" s="71" t="inlineStr">
        <is>
          <t>EUR</t>
        </is>
      </c>
      <c r="J79" s="71" t="inlineStr">
        <is>
          <t>CC-3848</t>
        </is>
      </c>
      <c r="K79" s="71" t="inlineStr">
        <is>
          <t>GL-6310</t>
        </is>
      </c>
      <c r="L79" s="88" t="inlineStr">
        <is>
          <t>Sent to Supplier</t>
        </is>
      </c>
      <c r="M79" s="71" t="inlineStr">
        <is>
          <t>INV-01078</t>
        </is>
      </c>
      <c r="N79" s="76" t="inlineStr">
        <is>
          <t>Disputed</t>
        </is>
      </c>
      <c r="O79" s="157" t="n">
        <v>45842</v>
      </c>
      <c r="P79" s="91" t="n">
        <v>0</v>
      </c>
      <c r="Q79" s="70" t="inlineStr">
        <is>
          <t>Carlos Navarro</t>
        </is>
      </c>
      <c r="R79" s="70" t="inlineStr">
        <is>
          <t>Lena Schneider</t>
        </is>
      </c>
      <c r="S79" s="70" t="inlineStr"/>
    </row>
    <row r="80" ht="18" customHeight="1">
      <c r="A80" s="114" t="inlineStr">
        <is>
          <t>PO-2025-1079</t>
        </is>
      </c>
      <c r="B80" s="85" t="inlineStr">
        <is>
          <t>EVT-2025-029</t>
        </is>
      </c>
      <c r="C80" s="86" t="inlineStr">
        <is>
          <t>AVIAWORLD Travel</t>
        </is>
      </c>
      <c r="D80" s="86" t="inlineStr">
        <is>
          <t>Travel &amp; Air</t>
        </is>
      </c>
      <c r="E80" s="164" t="n">
        <v>45699</v>
      </c>
      <c r="F80" s="164" t="n">
        <v>45705</v>
      </c>
      <c r="G80" s="90">
        <f>F80-E80</f>
        <v/>
      </c>
      <c r="H80" s="87" t="n">
        <v>26100.81</v>
      </c>
      <c r="I80" s="85" t="inlineStr">
        <is>
          <t>EUR</t>
        </is>
      </c>
      <c r="J80" s="85" t="inlineStr">
        <is>
          <t>CC-2551</t>
        </is>
      </c>
      <c r="K80" s="85" t="inlineStr">
        <is>
          <t>GL-6315</t>
        </is>
      </c>
      <c r="L80" s="96" t="inlineStr">
        <is>
          <t>Draft</t>
        </is>
      </c>
      <c r="M80" s="85" t="inlineStr">
        <is>
          <t>INV-01079</t>
        </is>
      </c>
      <c r="N80" s="88" t="inlineStr">
        <is>
          <t>Approved</t>
        </is>
      </c>
      <c r="O80" s="164" t="n">
        <v>45776</v>
      </c>
      <c r="P80" s="90" t="n">
        <v>0</v>
      </c>
      <c r="Q80" s="86" t="inlineStr">
        <is>
          <t>Sophie Müller</t>
        </is>
      </c>
      <c r="R80" s="86" t="inlineStr">
        <is>
          <t>Marco Bianchi</t>
        </is>
      </c>
      <c r="S80" s="86" t="inlineStr"/>
    </row>
    <row r="81" ht="18" customHeight="1">
      <c r="A81" s="115" t="inlineStr">
        <is>
          <t>PO-2025-1080</t>
        </is>
      </c>
      <c r="B81" s="71" t="inlineStr">
        <is>
          <t>EVT-2025-029</t>
        </is>
      </c>
      <c r="C81" s="70" t="inlineStr">
        <is>
          <t>MedAudio AV Solutions</t>
        </is>
      </c>
      <c r="D81" s="70" t="inlineStr">
        <is>
          <t>AV &amp; Technology</t>
        </is>
      </c>
      <c r="E81" s="157" t="n">
        <v>45754</v>
      </c>
      <c r="F81" s="157" t="n">
        <v>45757</v>
      </c>
      <c r="G81" s="91">
        <f>F81-E81</f>
        <v/>
      </c>
      <c r="H81" s="73" t="n">
        <v>53272.88</v>
      </c>
      <c r="I81" s="71" t="inlineStr">
        <is>
          <t>EUR</t>
        </is>
      </c>
      <c r="J81" s="71" t="inlineStr">
        <is>
          <t>CC-4641</t>
        </is>
      </c>
      <c r="K81" s="71" t="inlineStr">
        <is>
          <t>GL-6311</t>
        </is>
      </c>
      <c r="L81" s="76" t="inlineStr">
        <is>
          <t>Pending Approval</t>
        </is>
      </c>
      <c r="M81" s="71" t="inlineStr"/>
      <c r="N81" s="76" t="inlineStr">
        <is>
          <t>Disputed</t>
        </is>
      </c>
      <c r="O81" s="157" t="n">
        <v>45784</v>
      </c>
      <c r="P81" s="91" t="n">
        <v>0</v>
      </c>
      <c r="Q81" s="70" t="inlineStr">
        <is>
          <t>Emma Johansson</t>
        </is>
      </c>
      <c r="R81" s="70" t="inlineStr">
        <is>
          <t>Lucas Dupont</t>
        </is>
      </c>
      <c r="S81" s="70" t="inlineStr"/>
    </row>
    <row r="82" ht="18" customHeight="1">
      <c r="A82" s="114" t="inlineStr">
        <is>
          <t>PO-2025-1081</t>
        </is>
      </c>
      <c r="B82" s="85" t="inlineStr">
        <is>
          <t>EVT-2025-029</t>
        </is>
      </c>
      <c r="C82" s="86" t="inlineStr">
        <is>
          <t>Catering Excellence</t>
        </is>
      </c>
      <c r="D82" s="86" t="inlineStr">
        <is>
          <t>F&amp;B / Catering</t>
        </is>
      </c>
      <c r="E82" s="164" t="n">
        <v>45701</v>
      </c>
      <c r="F82" s="164" t="n">
        <v>45705</v>
      </c>
      <c r="G82" s="90">
        <f>F82-E82</f>
        <v/>
      </c>
      <c r="H82" s="87" t="n">
        <v>43377.65</v>
      </c>
      <c r="I82" s="85" t="inlineStr">
        <is>
          <t>EUR</t>
        </is>
      </c>
      <c r="J82" s="85" t="inlineStr">
        <is>
          <t>CC-5240</t>
        </is>
      </c>
      <c r="K82" s="85" t="inlineStr">
        <is>
          <t>GL-6330</t>
        </is>
      </c>
      <c r="L82" s="96" t="inlineStr">
        <is>
          <t>Draft</t>
        </is>
      </c>
      <c r="M82" s="85" t="inlineStr"/>
      <c r="N82" s="95" t="inlineStr">
        <is>
          <t>Invoiced</t>
        </is>
      </c>
      <c r="O82" s="164" t="n">
        <v>45774</v>
      </c>
      <c r="P82" s="90" t="n">
        <v>0</v>
      </c>
      <c r="Q82" s="86" t="inlineStr">
        <is>
          <t>Ana García</t>
        </is>
      </c>
      <c r="R82" s="86" t="inlineStr">
        <is>
          <t>Marco Bianchi</t>
        </is>
      </c>
      <c r="S82" s="86" t="inlineStr"/>
    </row>
    <row r="83" ht="18" customHeight="1">
      <c r="A83" s="115" t="inlineStr">
        <is>
          <t>PO-2025-1082</t>
        </is>
      </c>
      <c r="B83" s="71" t="inlineStr">
        <is>
          <t>EVT-2025-030</t>
        </is>
      </c>
      <c r="C83" s="70" t="inlineStr">
        <is>
          <t>Catering Excellence</t>
        </is>
      </c>
      <c r="D83" s="70" t="inlineStr">
        <is>
          <t>F&amp;B / Catering</t>
        </is>
      </c>
      <c r="E83" s="157" t="n">
        <v>45718</v>
      </c>
      <c r="F83" s="157" t="n">
        <v>45728</v>
      </c>
      <c r="G83" s="91">
        <f>F83-E83</f>
        <v/>
      </c>
      <c r="H83" s="73" t="n">
        <v>46272.3</v>
      </c>
      <c r="I83" s="71" t="inlineStr">
        <is>
          <t>EUR</t>
        </is>
      </c>
      <c r="J83" s="71" t="inlineStr">
        <is>
          <t>CC-3110</t>
        </is>
      </c>
      <c r="K83" s="71" t="inlineStr">
        <is>
          <t>GL-6310</t>
        </is>
      </c>
      <c r="L83" s="69" t="inlineStr">
        <is>
          <t>Approved</t>
        </is>
      </c>
      <c r="M83" s="71" t="inlineStr">
        <is>
          <t>INV-01082</t>
        </is>
      </c>
      <c r="N83" s="88" t="inlineStr">
        <is>
          <t>Approved</t>
        </is>
      </c>
      <c r="O83" s="157" t="n">
        <v>45760</v>
      </c>
      <c r="P83" s="91" t="n">
        <v>0</v>
      </c>
      <c r="Q83" s="70" t="inlineStr">
        <is>
          <t>Marco Bianchi</t>
        </is>
      </c>
      <c r="R83" s="70" t="inlineStr">
        <is>
          <t>Ana García</t>
        </is>
      </c>
      <c r="S83" s="70" t="inlineStr"/>
    </row>
    <row r="84" ht="18" customHeight="1">
      <c r="A84" s="114" t="inlineStr">
        <is>
          <t>PO-2025-1083</t>
        </is>
      </c>
      <c r="B84" s="85" t="inlineStr">
        <is>
          <t>EVT-2025-030</t>
        </is>
      </c>
      <c r="C84" s="86" t="inlineStr">
        <is>
          <t>KOL Connect</t>
        </is>
      </c>
      <c r="D84" s="86" t="inlineStr">
        <is>
          <t>Speaker Management</t>
        </is>
      </c>
      <c r="E84" s="164" t="n">
        <v>45670</v>
      </c>
      <c r="F84" s="164" t="n">
        <v>45680</v>
      </c>
      <c r="G84" s="90">
        <f>F84-E84</f>
        <v/>
      </c>
      <c r="H84" s="87" t="n">
        <v>5881.47</v>
      </c>
      <c r="I84" s="85" t="inlineStr">
        <is>
          <t>EUR</t>
        </is>
      </c>
      <c r="J84" s="85" t="inlineStr">
        <is>
          <t>CC-1829</t>
        </is>
      </c>
      <c r="K84" s="85" t="inlineStr">
        <is>
          <t>GL-6311</t>
        </is>
      </c>
      <c r="L84" s="116" t="inlineStr">
        <is>
          <t>Closed</t>
        </is>
      </c>
      <c r="M84" s="85" t="inlineStr">
        <is>
          <t>INV-01083</t>
        </is>
      </c>
      <c r="N84" s="76" t="inlineStr">
        <is>
          <t>Disputed</t>
        </is>
      </c>
      <c r="O84" s="164" t="n">
        <v>45760</v>
      </c>
      <c r="P84" s="90" t="n">
        <v>0</v>
      </c>
      <c r="Q84" s="86" t="inlineStr">
        <is>
          <t>Emma Johansson</t>
        </is>
      </c>
      <c r="R84" s="86" t="inlineStr">
        <is>
          <t>Thomas Dubois</t>
        </is>
      </c>
      <c r="S84" s="86" t="inlineStr"/>
    </row>
    <row r="85" ht="18" customHeight="1">
      <c r="A85" s="115" t="inlineStr">
        <is>
          <t>PO-2025-1084</t>
        </is>
      </c>
      <c r="B85" s="71" t="inlineStr">
        <is>
          <t>EVT-2025-030</t>
        </is>
      </c>
      <c r="C85" s="70" t="inlineStr">
        <is>
          <t>PharmaLogix</t>
        </is>
      </c>
      <c r="D85" s="70" t="inlineStr">
        <is>
          <t>Logistics &amp; Transport</t>
        </is>
      </c>
      <c r="E85" s="157" t="n">
        <v>45699</v>
      </c>
      <c r="F85" s="157" t="n">
        <v>45709</v>
      </c>
      <c r="G85" s="91">
        <f>F85-E85</f>
        <v/>
      </c>
      <c r="H85" s="73" t="n">
        <v>36479.45</v>
      </c>
      <c r="I85" s="71" t="inlineStr">
        <is>
          <t>EUR</t>
        </is>
      </c>
      <c r="J85" s="71" t="inlineStr">
        <is>
          <t>CC-1483</t>
        </is>
      </c>
      <c r="K85" s="71" t="inlineStr">
        <is>
          <t>GL-6315</t>
        </is>
      </c>
      <c r="L85" s="93" t="inlineStr">
        <is>
          <t>Cancelled</t>
        </is>
      </c>
      <c r="M85" s="71" t="inlineStr">
        <is>
          <t>INV-01084</t>
        </is>
      </c>
      <c r="N85" s="93" t="inlineStr">
        <is>
          <t>Overdue</t>
        </is>
      </c>
      <c r="O85" s="157" t="n">
        <v>45754</v>
      </c>
      <c r="P85" s="94" t="n">
        <v>443</v>
      </c>
      <c r="Q85" s="70" t="inlineStr">
        <is>
          <t>Emma Johansson</t>
        </is>
      </c>
      <c r="R85" s="70" t="inlineStr">
        <is>
          <t>Sophie Müller</t>
        </is>
      </c>
      <c r="S85" s="70" t="inlineStr"/>
    </row>
    <row r="86" ht="18" customHeight="1">
      <c r="A86" s="114" t="inlineStr">
        <is>
          <t>PO-2025-1085</t>
        </is>
      </c>
      <c r="B86" s="85" t="inlineStr">
        <is>
          <t>EVT-2025-031</t>
        </is>
      </c>
      <c r="C86" s="86" t="inlineStr">
        <is>
          <t>MedComm Agency</t>
        </is>
      </c>
      <c r="D86" s="86" t="inlineStr">
        <is>
          <t>Medical Communication</t>
        </is>
      </c>
      <c r="E86" s="164" t="n">
        <v>45827</v>
      </c>
      <c r="F86" s="164" t="n">
        <v>45833</v>
      </c>
      <c r="G86" s="90">
        <f>F86-E86</f>
        <v/>
      </c>
      <c r="H86" s="87" t="n">
        <v>48264.47</v>
      </c>
      <c r="I86" s="85" t="inlineStr">
        <is>
          <t>EUR</t>
        </is>
      </c>
      <c r="J86" s="85" t="inlineStr">
        <is>
          <t>CC-4066</t>
        </is>
      </c>
      <c r="K86" s="85" t="inlineStr">
        <is>
          <t>GL-6312</t>
        </is>
      </c>
      <c r="L86" s="69" t="inlineStr">
        <is>
          <t>Approved</t>
        </is>
      </c>
      <c r="M86" s="85" t="inlineStr">
        <is>
          <t>INV-01085</t>
        </is>
      </c>
      <c r="N86" s="96" t="inlineStr">
        <is>
          <t>Pending</t>
        </is>
      </c>
      <c r="O86" s="164" t="n">
        <v>45879</v>
      </c>
      <c r="P86" s="90" t="n">
        <v>0</v>
      </c>
      <c r="Q86" s="86" t="inlineStr">
        <is>
          <t>Carlos Navarro</t>
        </is>
      </c>
      <c r="R86" s="86" t="inlineStr">
        <is>
          <t>Sophie Müller</t>
        </is>
      </c>
      <c r="S86" s="86" t="inlineStr"/>
    </row>
    <row r="87" ht="18" customHeight="1">
      <c r="A87" s="115" t="inlineStr">
        <is>
          <t>PO-2025-1086</t>
        </is>
      </c>
      <c r="B87" s="71" t="inlineStr">
        <is>
          <t>EVT-2025-031</t>
        </is>
      </c>
      <c r="C87" s="70" t="inlineStr">
        <is>
          <t>InterCongress PCO</t>
        </is>
      </c>
      <c r="D87" s="70" t="inlineStr">
        <is>
          <t>PCO / Event Agency</t>
        </is>
      </c>
      <c r="E87" s="157" t="n">
        <v>45863</v>
      </c>
      <c r="F87" s="157" t="n">
        <v>45869</v>
      </c>
      <c r="G87" s="91">
        <f>F87-E87</f>
        <v/>
      </c>
      <c r="H87" s="73" t="n">
        <v>48747.35</v>
      </c>
      <c r="I87" s="71" t="inlineStr">
        <is>
          <t>EUR</t>
        </is>
      </c>
      <c r="J87" s="71" t="inlineStr">
        <is>
          <t>CC-5835</t>
        </is>
      </c>
      <c r="K87" s="71" t="inlineStr">
        <is>
          <t>GL-6315</t>
        </is>
      </c>
      <c r="L87" s="88" t="inlineStr">
        <is>
          <t>Sent to Supplier</t>
        </is>
      </c>
      <c r="M87" s="71" t="inlineStr">
        <is>
          <t>INV-01086</t>
        </is>
      </c>
      <c r="N87" s="88" t="inlineStr">
        <is>
          <t>Approved</t>
        </is>
      </c>
      <c r="O87" s="157" t="n">
        <v>45895</v>
      </c>
      <c r="P87" s="91" t="n">
        <v>0</v>
      </c>
      <c r="Q87" s="70" t="inlineStr">
        <is>
          <t>Lena Schneider</t>
        </is>
      </c>
      <c r="R87" s="70" t="inlineStr">
        <is>
          <t>Carlos Navarro</t>
        </is>
      </c>
      <c r="S87" s="70" t="inlineStr"/>
    </row>
    <row r="88" ht="18" customHeight="1">
      <c r="A88" s="114" t="inlineStr">
        <is>
          <t>PO-2025-1087</t>
        </is>
      </c>
      <c r="B88" s="85" t="inlineStr">
        <is>
          <t>EVT-2025-031</t>
        </is>
      </c>
      <c r="C88" s="86" t="inlineStr">
        <is>
          <t>Catering Excellence</t>
        </is>
      </c>
      <c r="D88" s="86" t="inlineStr">
        <is>
          <t>F&amp;B / Catering</t>
        </is>
      </c>
      <c r="E88" s="164" t="n">
        <v>45852</v>
      </c>
      <c r="F88" s="164" t="n">
        <v>45856</v>
      </c>
      <c r="G88" s="90">
        <f>F88-E88</f>
        <v/>
      </c>
      <c r="H88" s="87" t="n">
        <v>21930.52</v>
      </c>
      <c r="I88" s="85" t="inlineStr">
        <is>
          <t>EUR</t>
        </is>
      </c>
      <c r="J88" s="85" t="inlineStr">
        <is>
          <t>CC-5583</t>
        </is>
      </c>
      <c r="K88" s="85" t="inlineStr">
        <is>
          <t>GL-6315</t>
        </is>
      </c>
      <c r="L88" s="76" t="inlineStr">
        <is>
          <t>Pending Approval</t>
        </is>
      </c>
      <c r="M88" s="85" t="inlineStr"/>
      <c r="N88" s="69" t="inlineStr">
        <is>
          <t>Paid</t>
        </is>
      </c>
      <c r="O88" s="164" t="n">
        <v>45885</v>
      </c>
      <c r="P88" s="90" t="n">
        <v>0</v>
      </c>
      <c r="Q88" s="86" t="inlineStr">
        <is>
          <t>Emma Johansson</t>
        </is>
      </c>
      <c r="R88" s="86" t="inlineStr">
        <is>
          <t>James Wilson</t>
        </is>
      </c>
      <c r="S88" s="86" t="inlineStr"/>
    </row>
    <row r="89" ht="18" customHeight="1">
      <c r="A89" s="115" t="inlineStr">
        <is>
          <t>PO-2025-1088</t>
        </is>
      </c>
      <c r="B89" s="71" t="inlineStr">
        <is>
          <t>EVT-2025-032</t>
        </is>
      </c>
      <c r="C89" s="70" t="inlineStr">
        <is>
          <t>MedAudio AV Solutions</t>
        </is>
      </c>
      <c r="D89" s="70" t="inlineStr">
        <is>
          <t>AV &amp; Technology</t>
        </is>
      </c>
      <c r="E89" s="157" t="n">
        <v>45593</v>
      </c>
      <c r="F89" s="157" t="n">
        <v>45599</v>
      </c>
      <c r="G89" s="91">
        <f>F89-E89</f>
        <v/>
      </c>
      <c r="H89" s="73" t="n">
        <v>41020.46</v>
      </c>
      <c r="I89" s="71" t="inlineStr">
        <is>
          <t>EUR</t>
        </is>
      </c>
      <c r="J89" s="71" t="inlineStr">
        <is>
          <t>CC-9907</t>
        </is>
      </c>
      <c r="K89" s="71" t="inlineStr">
        <is>
          <t>GL-6330</t>
        </is>
      </c>
      <c r="L89" s="96" t="inlineStr">
        <is>
          <t>Draft</t>
        </is>
      </c>
      <c r="M89" s="71" t="inlineStr">
        <is>
          <t>INV-01088</t>
        </is>
      </c>
      <c r="N89" s="96" t="inlineStr">
        <is>
          <t>Pending</t>
        </is>
      </c>
      <c r="O89" s="157" t="n">
        <v>45664</v>
      </c>
      <c r="P89" s="91" t="n">
        <v>0</v>
      </c>
      <c r="Q89" s="70" t="inlineStr">
        <is>
          <t>Emma Johansson</t>
        </is>
      </c>
      <c r="R89" s="70" t="inlineStr">
        <is>
          <t>Thomas Dubois</t>
        </is>
      </c>
      <c r="S89" s="70" t="inlineStr"/>
    </row>
    <row r="90" ht="18" customHeight="1">
      <c r="A90" s="114" t="inlineStr">
        <is>
          <t>PO-2025-1089</t>
        </is>
      </c>
      <c r="B90" s="85" t="inlineStr">
        <is>
          <t>EVT-2025-032</t>
        </is>
      </c>
      <c r="C90" s="86" t="inlineStr">
        <is>
          <t>HealthMarketing Group</t>
        </is>
      </c>
      <c r="D90" s="86" t="inlineStr">
        <is>
          <t>Marketing Agency</t>
        </is>
      </c>
      <c r="E90" s="164" t="n">
        <v>45633</v>
      </c>
      <c r="F90" s="164" t="n">
        <v>45643</v>
      </c>
      <c r="G90" s="90">
        <f>F90-E90</f>
        <v/>
      </c>
      <c r="H90" s="87" t="n">
        <v>5299.58</v>
      </c>
      <c r="I90" s="85" t="inlineStr">
        <is>
          <t>EUR</t>
        </is>
      </c>
      <c r="J90" s="85" t="inlineStr">
        <is>
          <t>CC-9921</t>
        </is>
      </c>
      <c r="K90" s="85" t="inlineStr">
        <is>
          <t>GL-6330</t>
        </is>
      </c>
      <c r="L90" s="88" t="inlineStr">
        <is>
          <t>Sent to Supplier</t>
        </is>
      </c>
      <c r="M90" s="85" t="inlineStr">
        <is>
          <t>INV-01089</t>
        </is>
      </c>
      <c r="N90" s="96" t="inlineStr">
        <is>
          <t>Pending</t>
        </is>
      </c>
      <c r="O90" s="164" t="n">
        <v>45685</v>
      </c>
      <c r="P90" s="90" t="n">
        <v>0</v>
      </c>
      <c r="Q90" s="86" t="inlineStr">
        <is>
          <t>Lucas Dupont</t>
        </is>
      </c>
      <c r="R90" s="86" t="inlineStr">
        <is>
          <t>David O'Brien</t>
        </is>
      </c>
      <c r="S90" s="86" t="inlineStr"/>
    </row>
    <row r="91" ht="18" customHeight="1">
      <c r="A91" s="115" t="inlineStr">
        <is>
          <t>PO-2025-1090</t>
        </is>
      </c>
      <c r="B91" s="71" t="inlineStr">
        <is>
          <t>EVT-2025-032</t>
        </is>
      </c>
      <c r="C91" s="70" t="inlineStr">
        <is>
          <t>MedComm Agency</t>
        </is>
      </c>
      <c r="D91" s="70" t="inlineStr">
        <is>
          <t>Medical Communication</t>
        </is>
      </c>
      <c r="E91" s="157" t="n">
        <v>45611</v>
      </c>
      <c r="F91" s="157" t="n">
        <v>45619</v>
      </c>
      <c r="G91" s="91">
        <f>F91-E91</f>
        <v/>
      </c>
      <c r="H91" s="73" t="n">
        <v>35484.17</v>
      </c>
      <c r="I91" s="71" t="inlineStr">
        <is>
          <t>EUR</t>
        </is>
      </c>
      <c r="J91" s="71" t="inlineStr">
        <is>
          <t>CC-7363</t>
        </is>
      </c>
      <c r="K91" s="71" t="inlineStr">
        <is>
          <t>GL-6312</t>
        </is>
      </c>
      <c r="L91" s="76" t="inlineStr">
        <is>
          <t>Pending Approval</t>
        </is>
      </c>
      <c r="M91" s="71" t="inlineStr">
        <is>
          <t>INV-01090</t>
        </is>
      </c>
      <c r="N91" s="69" t="inlineStr">
        <is>
          <t>Paid</t>
        </is>
      </c>
      <c r="O91" s="157" t="n">
        <v>45673</v>
      </c>
      <c r="P91" s="91" t="n">
        <v>0</v>
      </c>
      <c r="Q91" s="70" t="inlineStr">
        <is>
          <t>Ana García</t>
        </is>
      </c>
      <c r="R91" s="70" t="inlineStr">
        <is>
          <t>Lucas Dupont</t>
        </is>
      </c>
      <c r="S91" s="70" t="inlineStr"/>
    </row>
    <row r="92" ht="18" customHeight="1">
      <c r="A92" s="114" t="inlineStr">
        <is>
          <t>PO-2025-1091</t>
        </is>
      </c>
      <c r="B92" s="85" t="inlineStr">
        <is>
          <t>EVT-2025-032</t>
        </is>
      </c>
      <c r="C92" s="86" t="inlineStr">
        <is>
          <t>PrintMed Solutions</t>
        </is>
      </c>
      <c r="D92" s="86" t="inlineStr">
        <is>
          <t>Print &amp; Production</t>
        </is>
      </c>
      <c r="E92" s="164" t="n">
        <v>45607</v>
      </c>
      <c r="F92" s="164" t="n">
        <v>45613</v>
      </c>
      <c r="G92" s="90">
        <f>F92-E92</f>
        <v/>
      </c>
      <c r="H92" s="87" t="n">
        <v>3626.81</v>
      </c>
      <c r="I92" s="85" t="inlineStr">
        <is>
          <t>EUR</t>
        </is>
      </c>
      <c r="J92" s="85" t="inlineStr">
        <is>
          <t>CC-1480</t>
        </is>
      </c>
      <c r="K92" s="85" t="inlineStr">
        <is>
          <t>GL-6330</t>
        </is>
      </c>
      <c r="L92" s="69" t="inlineStr">
        <is>
          <t>Approved</t>
        </is>
      </c>
      <c r="M92" s="85" t="inlineStr"/>
      <c r="N92" s="93" t="inlineStr">
        <is>
          <t>Overdue</t>
        </is>
      </c>
      <c r="O92" s="164" t="n">
        <v>45675</v>
      </c>
      <c r="P92" s="94" t="n">
        <v>522</v>
      </c>
      <c r="Q92" s="86" t="inlineStr">
        <is>
          <t>Ana García</t>
        </is>
      </c>
      <c r="R92" s="86" t="inlineStr">
        <is>
          <t>Carlos Navarro</t>
        </is>
      </c>
      <c r="S92" s="86" t="inlineStr"/>
    </row>
    <row r="93" ht="18" customHeight="1">
      <c r="A93" s="115" t="inlineStr">
        <is>
          <t>PO-2025-1092</t>
        </is>
      </c>
      <c r="B93" s="71" t="inlineStr">
        <is>
          <t>EVT-2025-033</t>
        </is>
      </c>
      <c r="C93" s="70" t="inlineStr">
        <is>
          <t>InterCongress PCO</t>
        </is>
      </c>
      <c r="D93" s="70" t="inlineStr">
        <is>
          <t>PCO / Event Agency</t>
        </is>
      </c>
      <c r="E93" s="157" t="n">
        <v>45908</v>
      </c>
      <c r="F93" s="157" t="n">
        <v>45916</v>
      </c>
      <c r="G93" s="91">
        <f>F93-E93</f>
        <v/>
      </c>
      <c r="H93" s="73" t="n">
        <v>47931.96</v>
      </c>
      <c r="I93" s="71" t="inlineStr">
        <is>
          <t>EUR</t>
        </is>
      </c>
      <c r="J93" s="71" t="inlineStr">
        <is>
          <t>CC-4813</t>
        </is>
      </c>
      <c r="K93" s="71" t="inlineStr">
        <is>
          <t>GL-6311</t>
        </is>
      </c>
      <c r="L93" s="96" t="inlineStr">
        <is>
          <t>Draft</t>
        </is>
      </c>
      <c r="M93" s="71" t="inlineStr"/>
      <c r="N93" s="96" t="inlineStr">
        <is>
          <t>Cancelled</t>
        </is>
      </c>
      <c r="O93" s="157" t="n">
        <v>45971</v>
      </c>
      <c r="P93" s="91" t="n">
        <v>0</v>
      </c>
      <c r="Q93" s="70" t="inlineStr">
        <is>
          <t>James Wilson</t>
        </is>
      </c>
      <c r="R93" s="70" t="inlineStr">
        <is>
          <t>Maria Kowalski</t>
        </is>
      </c>
      <c r="S93" s="70" t="inlineStr"/>
    </row>
    <row r="94" ht="18" customHeight="1">
      <c r="A94" s="114" t="inlineStr">
        <is>
          <t>PO-2025-1093</t>
        </is>
      </c>
      <c r="B94" s="85" t="inlineStr">
        <is>
          <t>EVT-2025-033</t>
        </is>
      </c>
      <c r="C94" s="86" t="inlineStr">
        <is>
          <t>MedComm Agency</t>
        </is>
      </c>
      <c r="D94" s="86" t="inlineStr">
        <is>
          <t>Medical Communication</t>
        </is>
      </c>
      <c r="E94" s="164" t="n">
        <v>45937</v>
      </c>
      <c r="F94" s="164" t="n">
        <v>45944</v>
      </c>
      <c r="G94" s="90">
        <f>F94-E94</f>
        <v/>
      </c>
      <c r="H94" s="87" t="n">
        <v>19282.62</v>
      </c>
      <c r="I94" s="85" t="inlineStr">
        <is>
          <t>EUR</t>
        </is>
      </c>
      <c r="J94" s="85" t="inlineStr">
        <is>
          <t>CC-9743</t>
        </is>
      </c>
      <c r="K94" s="85" t="inlineStr">
        <is>
          <t>GL-6330</t>
        </is>
      </c>
      <c r="L94" s="93" t="inlineStr">
        <is>
          <t>Cancelled</t>
        </is>
      </c>
      <c r="M94" s="85" t="inlineStr">
        <is>
          <t>INV-01093</t>
        </is>
      </c>
      <c r="N94" s="76" t="inlineStr">
        <is>
          <t>Disputed</t>
        </is>
      </c>
      <c r="O94" s="164" t="n">
        <v>45982</v>
      </c>
      <c r="P94" s="90" t="n">
        <v>0</v>
      </c>
      <c r="Q94" s="86" t="inlineStr">
        <is>
          <t>Ana García</t>
        </is>
      </c>
      <c r="R94" s="86" t="inlineStr">
        <is>
          <t>James Wilson</t>
        </is>
      </c>
      <c r="S94" s="86" t="inlineStr"/>
    </row>
    <row r="95" ht="18" customHeight="1">
      <c r="A95" s="115" t="inlineStr">
        <is>
          <t>PO-2025-1094</t>
        </is>
      </c>
      <c r="B95" s="71" t="inlineStr">
        <is>
          <t>EVT-2025-033</t>
        </is>
      </c>
      <c r="C95" s="70" t="inlineStr">
        <is>
          <t>HealthMarketing Group</t>
        </is>
      </c>
      <c r="D95" s="70" t="inlineStr">
        <is>
          <t>Marketing Agency</t>
        </is>
      </c>
      <c r="E95" s="157" t="n">
        <v>45910</v>
      </c>
      <c r="F95" s="157" t="n">
        <v>45919</v>
      </c>
      <c r="G95" s="91">
        <f>F95-E95</f>
        <v/>
      </c>
      <c r="H95" s="73" t="n">
        <v>17124.49</v>
      </c>
      <c r="I95" s="71" t="inlineStr">
        <is>
          <t>EUR</t>
        </is>
      </c>
      <c r="J95" s="71" t="inlineStr">
        <is>
          <t>CC-6813</t>
        </is>
      </c>
      <c r="K95" s="71" t="inlineStr">
        <is>
          <t>GL-6330</t>
        </is>
      </c>
      <c r="L95" s="76" t="inlineStr">
        <is>
          <t>Pending Approval</t>
        </is>
      </c>
      <c r="M95" s="71" t="inlineStr">
        <is>
          <t>INV-01094</t>
        </is>
      </c>
      <c r="N95" s="96" t="inlineStr">
        <is>
          <t>Cancelled</t>
        </is>
      </c>
      <c r="O95" s="157" t="n">
        <v>45976</v>
      </c>
      <c r="P95" s="91" t="n">
        <v>0</v>
      </c>
      <c r="Q95" s="70" t="inlineStr">
        <is>
          <t>Sophie Müller</t>
        </is>
      </c>
      <c r="R95" s="70" t="inlineStr">
        <is>
          <t>James Wilson</t>
        </is>
      </c>
      <c r="S95" s="70" t="inlineStr"/>
    </row>
    <row r="96" ht="18" customHeight="1">
      <c r="A96" s="114" t="inlineStr">
        <is>
          <t>PO-2025-1095</t>
        </is>
      </c>
      <c r="B96" s="85" t="inlineStr">
        <is>
          <t>EVT-2025-034</t>
        </is>
      </c>
      <c r="C96" s="86" t="inlineStr">
        <is>
          <t>Prime Hospitality Group</t>
        </is>
      </c>
      <c r="D96" s="86" t="inlineStr">
        <is>
          <t>Hotel &amp; Venue</t>
        </is>
      </c>
      <c r="E96" s="164" t="n">
        <v>45632</v>
      </c>
      <c r="F96" s="164" t="n">
        <v>45640</v>
      </c>
      <c r="G96" s="90">
        <f>F96-E96</f>
        <v/>
      </c>
      <c r="H96" s="87" t="n">
        <v>17387.2</v>
      </c>
      <c r="I96" s="85" t="inlineStr">
        <is>
          <t>EUR</t>
        </is>
      </c>
      <c r="J96" s="85" t="inlineStr">
        <is>
          <t>CC-6878</t>
        </is>
      </c>
      <c r="K96" s="85" t="inlineStr">
        <is>
          <t>GL-6320</t>
        </is>
      </c>
      <c r="L96" s="96" t="inlineStr">
        <is>
          <t>Draft</t>
        </is>
      </c>
      <c r="M96" s="85" t="inlineStr"/>
      <c r="N96" s="96" t="inlineStr">
        <is>
          <t>Cancelled</t>
        </is>
      </c>
      <c r="O96" s="164" t="n">
        <v>45699</v>
      </c>
      <c r="P96" s="90" t="n">
        <v>0</v>
      </c>
      <c r="Q96" s="86" t="inlineStr">
        <is>
          <t>Thomas Dubois</t>
        </is>
      </c>
      <c r="R96" s="86" t="inlineStr">
        <is>
          <t>Thomas Dubois</t>
        </is>
      </c>
      <c r="S96" s="86" t="inlineStr"/>
    </row>
    <row r="97" ht="18" customHeight="1">
      <c r="A97" s="115" t="inlineStr">
        <is>
          <t>PO-2025-1096</t>
        </is>
      </c>
      <c r="B97" s="71" t="inlineStr">
        <is>
          <t>EVT-2025-034</t>
        </is>
      </c>
      <c r="C97" s="70" t="inlineStr">
        <is>
          <t>InterCongress PCO</t>
        </is>
      </c>
      <c r="D97" s="70" t="inlineStr">
        <is>
          <t>PCO / Event Agency</t>
        </is>
      </c>
      <c r="E97" s="157" t="n">
        <v>45646</v>
      </c>
      <c r="F97" s="157" t="n">
        <v>45651</v>
      </c>
      <c r="G97" s="91">
        <f>F97-E97</f>
        <v/>
      </c>
      <c r="H97" s="73" t="n">
        <v>76200.78999999999</v>
      </c>
      <c r="I97" s="71" t="inlineStr">
        <is>
          <t>EUR</t>
        </is>
      </c>
      <c r="J97" s="71" t="inlineStr">
        <is>
          <t>CC-4084</t>
        </is>
      </c>
      <c r="K97" s="71" t="inlineStr">
        <is>
          <t>GL-6330</t>
        </is>
      </c>
      <c r="L97" s="88" t="inlineStr">
        <is>
          <t>Sent to Supplier</t>
        </is>
      </c>
      <c r="M97" s="71" t="inlineStr"/>
      <c r="N97" s="96" t="inlineStr">
        <is>
          <t>Cancelled</t>
        </is>
      </c>
      <c r="O97" s="157" t="n">
        <v>45698</v>
      </c>
      <c r="P97" s="91" t="n">
        <v>0</v>
      </c>
      <c r="Q97" s="70" t="inlineStr">
        <is>
          <t>Lena Schneider</t>
        </is>
      </c>
      <c r="R97" s="70" t="inlineStr">
        <is>
          <t>Isabel Ferreira</t>
        </is>
      </c>
      <c r="S97" s="70" t="inlineStr"/>
    </row>
    <row r="98" ht="18" customHeight="1">
      <c r="A98" s="114" t="inlineStr">
        <is>
          <t>PO-2025-1097</t>
        </is>
      </c>
      <c r="B98" s="85" t="inlineStr">
        <is>
          <t>EVT-2025-035</t>
        </is>
      </c>
      <c r="C98" s="86" t="inlineStr">
        <is>
          <t>Translingua Pro</t>
        </is>
      </c>
      <c r="D98" s="86" t="inlineStr">
        <is>
          <t>Translation &amp; Interpretation</t>
        </is>
      </c>
      <c r="E98" s="164" t="n">
        <v>45849</v>
      </c>
      <c r="F98" s="164" t="n">
        <v>45859</v>
      </c>
      <c r="G98" s="90">
        <f>F98-E98</f>
        <v/>
      </c>
      <c r="H98" s="87" t="n">
        <v>27210.24</v>
      </c>
      <c r="I98" s="85" t="inlineStr">
        <is>
          <t>EUR</t>
        </is>
      </c>
      <c r="J98" s="85" t="inlineStr">
        <is>
          <t>CC-1621</t>
        </is>
      </c>
      <c r="K98" s="85" t="inlineStr">
        <is>
          <t>GL-6310</t>
        </is>
      </c>
      <c r="L98" s="96" t="inlineStr">
        <is>
          <t>Draft</t>
        </is>
      </c>
      <c r="M98" s="85" t="inlineStr">
        <is>
          <t>INV-01097</t>
        </is>
      </c>
      <c r="N98" s="69" t="inlineStr">
        <is>
          <t>Paid</t>
        </is>
      </c>
      <c r="O98" s="164" t="n">
        <v>45890</v>
      </c>
      <c r="P98" s="90" t="n">
        <v>0</v>
      </c>
      <c r="Q98" s="86" t="inlineStr">
        <is>
          <t>James Wilson</t>
        </is>
      </c>
      <c r="R98" s="86" t="inlineStr">
        <is>
          <t>David O'Brien</t>
        </is>
      </c>
      <c r="S98" s="86" t="inlineStr"/>
    </row>
    <row r="99" ht="18" customHeight="1">
      <c r="A99" s="115" t="inlineStr">
        <is>
          <t>PO-2025-1098</t>
        </is>
      </c>
      <c r="B99" s="71" t="inlineStr">
        <is>
          <t>EVT-2025-035</t>
        </is>
      </c>
      <c r="C99" s="70" t="inlineStr">
        <is>
          <t>Compliance Expert Ltd</t>
        </is>
      </c>
      <c r="D99" s="70" t="inlineStr">
        <is>
          <t>Compliance &amp; Legal</t>
        </is>
      </c>
      <c r="E99" s="157" t="n">
        <v>45858</v>
      </c>
      <c r="F99" s="157" t="n">
        <v>45861</v>
      </c>
      <c r="G99" s="91">
        <f>F99-E99</f>
        <v/>
      </c>
      <c r="H99" s="73" t="n">
        <v>51248.04</v>
      </c>
      <c r="I99" s="71" t="inlineStr">
        <is>
          <t>EUR</t>
        </is>
      </c>
      <c r="J99" s="71" t="inlineStr">
        <is>
          <t>CC-9625</t>
        </is>
      </c>
      <c r="K99" s="71" t="inlineStr">
        <is>
          <t>GL-6315</t>
        </is>
      </c>
      <c r="L99" s="96" t="inlineStr">
        <is>
          <t>Draft</t>
        </is>
      </c>
      <c r="M99" s="71" t="inlineStr">
        <is>
          <t>INV-01098</t>
        </is>
      </c>
      <c r="N99" s="95" t="inlineStr">
        <is>
          <t>Invoiced</t>
        </is>
      </c>
      <c r="O99" s="157" t="n">
        <v>45902</v>
      </c>
      <c r="P99" s="91" t="n">
        <v>0</v>
      </c>
      <c r="Q99" s="70" t="inlineStr">
        <is>
          <t>Lucas Dupont</t>
        </is>
      </c>
      <c r="R99" s="70" t="inlineStr">
        <is>
          <t>David O'Brien</t>
        </is>
      </c>
      <c r="S99" s="70" t="inlineStr"/>
    </row>
    <row r="100" ht="18" customHeight="1">
      <c r="A100" s="114" t="inlineStr">
        <is>
          <t>PO-2025-1099</t>
        </is>
      </c>
      <c r="B100" s="85" t="inlineStr">
        <is>
          <t>EVT-2025-035</t>
        </is>
      </c>
      <c r="C100" s="86" t="inlineStr">
        <is>
          <t>DigitalPharma Studio</t>
        </is>
      </c>
      <c r="D100" s="86" t="inlineStr">
        <is>
          <t>Digital &amp; Web</t>
        </is>
      </c>
      <c r="E100" s="164" t="n">
        <v>45867</v>
      </c>
      <c r="F100" s="164" t="n">
        <v>45872</v>
      </c>
      <c r="G100" s="90">
        <f>F100-E100</f>
        <v/>
      </c>
      <c r="H100" s="87" t="n">
        <v>38015.91</v>
      </c>
      <c r="I100" s="85" t="inlineStr">
        <is>
          <t>EUR</t>
        </is>
      </c>
      <c r="J100" s="85" t="inlineStr">
        <is>
          <t>CC-6582</t>
        </is>
      </c>
      <c r="K100" s="85" t="inlineStr">
        <is>
          <t>GL-6325</t>
        </is>
      </c>
      <c r="L100" s="76" t="inlineStr">
        <is>
          <t>Pending Approval</t>
        </is>
      </c>
      <c r="M100" s="85" t="inlineStr"/>
      <c r="N100" s="96" t="inlineStr">
        <is>
          <t>Cancelled</t>
        </is>
      </c>
      <c r="O100" s="164" t="n">
        <v>45909</v>
      </c>
      <c r="P100" s="90" t="n">
        <v>0</v>
      </c>
      <c r="Q100" s="86" t="inlineStr">
        <is>
          <t>Lucas Dupont</t>
        </is>
      </c>
      <c r="R100" s="86" t="inlineStr">
        <is>
          <t>Ana García</t>
        </is>
      </c>
      <c r="S100" s="86" t="inlineStr"/>
    </row>
    <row r="101" ht="18" customHeight="1">
      <c r="A101" s="115" t="inlineStr">
        <is>
          <t>PO-2025-1100</t>
        </is>
      </c>
      <c r="B101" s="71" t="inlineStr">
        <is>
          <t>EVT-2025-035</t>
        </is>
      </c>
      <c r="C101" s="70" t="inlineStr">
        <is>
          <t>TechEvent Systems</t>
        </is>
      </c>
      <c r="D101" s="70" t="inlineStr">
        <is>
          <t>Registration &amp; Tech</t>
        </is>
      </c>
      <c r="E101" s="157" t="n">
        <v>45877</v>
      </c>
      <c r="F101" s="157" t="n">
        <v>45882</v>
      </c>
      <c r="G101" s="91">
        <f>F101-E101</f>
        <v/>
      </c>
      <c r="H101" s="73" t="n">
        <v>69411.5</v>
      </c>
      <c r="I101" s="71" t="inlineStr">
        <is>
          <t>EUR</t>
        </is>
      </c>
      <c r="J101" s="71" t="inlineStr">
        <is>
          <t>CC-3320</t>
        </is>
      </c>
      <c r="K101" s="71" t="inlineStr">
        <is>
          <t>GL-6330</t>
        </is>
      </c>
      <c r="L101" s="96" t="inlineStr">
        <is>
          <t>Draft</t>
        </is>
      </c>
      <c r="M101" s="71" t="inlineStr"/>
      <c r="N101" s="93" t="inlineStr">
        <is>
          <t>Overdue</t>
        </is>
      </c>
      <c r="O101" s="157" t="n">
        <v>45908</v>
      </c>
      <c r="P101" s="94" t="n">
        <v>289</v>
      </c>
      <c r="Q101" s="70" t="inlineStr">
        <is>
          <t>Lena Schneider</t>
        </is>
      </c>
      <c r="R101" s="70" t="inlineStr">
        <is>
          <t>Lucas Dupont</t>
        </is>
      </c>
      <c r="S101" s="70" t="inlineStr"/>
    </row>
    <row r="102" ht="18" customHeight="1">
      <c r="A102" s="114" t="inlineStr">
        <is>
          <t>PO-2025-1101</t>
        </is>
      </c>
      <c r="B102" s="85" t="inlineStr">
        <is>
          <t>EVT-2025-035</t>
        </is>
      </c>
      <c r="C102" s="86" t="inlineStr">
        <is>
          <t>KOL Connect</t>
        </is>
      </c>
      <c r="D102" s="86" t="inlineStr">
        <is>
          <t>Speaker Management</t>
        </is>
      </c>
      <c r="E102" s="164" t="n">
        <v>45853</v>
      </c>
      <c r="F102" s="164" t="n">
        <v>45861</v>
      </c>
      <c r="G102" s="90">
        <f>F102-E102</f>
        <v/>
      </c>
      <c r="H102" s="87" t="n">
        <v>45236.68</v>
      </c>
      <c r="I102" s="85" t="inlineStr">
        <is>
          <t>EUR</t>
        </is>
      </c>
      <c r="J102" s="85" t="inlineStr">
        <is>
          <t>CC-7481</t>
        </is>
      </c>
      <c r="K102" s="85" t="inlineStr">
        <is>
          <t>GL-6320</t>
        </is>
      </c>
      <c r="L102" s="96" t="inlineStr">
        <is>
          <t>Draft</t>
        </is>
      </c>
      <c r="M102" s="85" t="inlineStr">
        <is>
          <t>INV-01101</t>
        </is>
      </c>
      <c r="N102" s="69" t="inlineStr">
        <is>
          <t>Paid</t>
        </is>
      </c>
      <c r="O102" s="164" t="n">
        <v>45887</v>
      </c>
      <c r="P102" s="90" t="n">
        <v>0</v>
      </c>
      <c r="Q102" s="86" t="inlineStr">
        <is>
          <t>Lucas Dupont</t>
        </is>
      </c>
      <c r="R102" s="86" t="inlineStr">
        <is>
          <t>Isabel Ferreira</t>
        </is>
      </c>
      <c r="S102" s="86" t="inlineStr"/>
    </row>
    <row r="103" ht="18" customHeight="1">
      <c r="A103" s="115" t="inlineStr">
        <is>
          <t>PO-2025-1102</t>
        </is>
      </c>
      <c r="B103" s="71" t="inlineStr">
        <is>
          <t>EVT-2025-036</t>
        </is>
      </c>
      <c r="C103" s="70" t="inlineStr">
        <is>
          <t>Compliance Expert Ltd</t>
        </is>
      </c>
      <c r="D103" s="70" t="inlineStr">
        <is>
          <t>Compliance &amp; Legal</t>
        </is>
      </c>
      <c r="E103" s="157" t="n">
        <v>45811</v>
      </c>
      <c r="F103" s="157" t="n">
        <v>45816</v>
      </c>
      <c r="G103" s="91">
        <f>F103-E103</f>
        <v/>
      </c>
      <c r="H103" s="73" t="n">
        <v>76702.34</v>
      </c>
      <c r="I103" s="71" t="inlineStr">
        <is>
          <t>EUR</t>
        </is>
      </c>
      <c r="J103" s="71" t="inlineStr">
        <is>
          <t>CC-3580</t>
        </is>
      </c>
      <c r="K103" s="71" t="inlineStr">
        <is>
          <t>GL-6325</t>
        </is>
      </c>
      <c r="L103" s="88" t="inlineStr">
        <is>
          <t>Sent to Supplier</t>
        </is>
      </c>
      <c r="M103" s="71" t="inlineStr">
        <is>
          <t>INV-01102</t>
        </is>
      </c>
      <c r="N103" s="96" t="inlineStr">
        <is>
          <t>Cancelled</t>
        </is>
      </c>
      <c r="O103" s="157" t="n">
        <v>45861</v>
      </c>
      <c r="P103" s="91" t="n">
        <v>0</v>
      </c>
      <c r="Q103" s="70" t="inlineStr">
        <is>
          <t>Maria Kowalski</t>
        </is>
      </c>
      <c r="R103" s="70" t="inlineStr">
        <is>
          <t>Carlos Navarro</t>
        </is>
      </c>
      <c r="S103" s="70" t="inlineStr"/>
    </row>
    <row r="104" ht="18" customHeight="1">
      <c r="A104" s="114" t="inlineStr">
        <is>
          <t>PO-2025-1103</t>
        </is>
      </c>
      <c r="B104" s="85" t="inlineStr">
        <is>
          <t>EVT-2025-036</t>
        </is>
      </c>
      <c r="C104" s="86" t="inlineStr">
        <is>
          <t>Prime Hospitality Group</t>
        </is>
      </c>
      <c r="D104" s="86" t="inlineStr">
        <is>
          <t>Hotel &amp; Venue</t>
        </is>
      </c>
      <c r="E104" s="164" t="n">
        <v>45784</v>
      </c>
      <c r="F104" s="164" t="n">
        <v>45792</v>
      </c>
      <c r="G104" s="90">
        <f>F104-E104</f>
        <v/>
      </c>
      <c r="H104" s="87" t="n">
        <v>8577.67</v>
      </c>
      <c r="I104" s="85" t="inlineStr">
        <is>
          <t>EUR</t>
        </is>
      </c>
      <c r="J104" s="85" t="inlineStr">
        <is>
          <t>CC-3854</t>
        </is>
      </c>
      <c r="K104" s="85" t="inlineStr">
        <is>
          <t>GL-6325</t>
        </is>
      </c>
      <c r="L104" s="116" t="inlineStr">
        <is>
          <t>Closed</t>
        </is>
      </c>
      <c r="M104" s="85" t="inlineStr">
        <is>
          <t>INV-01103</t>
        </is>
      </c>
      <c r="N104" s="88" t="inlineStr">
        <is>
          <t>Approved</t>
        </is>
      </c>
      <c r="O104" s="164" t="n">
        <v>45855</v>
      </c>
      <c r="P104" s="90" t="n">
        <v>0</v>
      </c>
      <c r="Q104" s="86" t="inlineStr">
        <is>
          <t>Thomas Dubois</t>
        </is>
      </c>
      <c r="R104" s="86" t="inlineStr">
        <is>
          <t>David O'Brien</t>
        </is>
      </c>
      <c r="S104" s="86" t="inlineStr"/>
    </row>
    <row r="105" ht="18" customHeight="1">
      <c r="A105" s="115" t="inlineStr">
        <is>
          <t>PO-2025-1104</t>
        </is>
      </c>
      <c r="B105" s="71" t="inlineStr">
        <is>
          <t>EVT-2025-036</t>
        </is>
      </c>
      <c r="C105" s="70" t="inlineStr">
        <is>
          <t>PharmaLogix</t>
        </is>
      </c>
      <c r="D105" s="70" t="inlineStr">
        <is>
          <t>Logistics &amp; Transport</t>
        </is>
      </c>
      <c r="E105" s="157" t="n">
        <v>45779</v>
      </c>
      <c r="F105" s="157" t="n">
        <v>45787</v>
      </c>
      <c r="G105" s="91">
        <f>F105-E105</f>
        <v/>
      </c>
      <c r="H105" s="73" t="n">
        <v>36274.9</v>
      </c>
      <c r="I105" s="71" t="inlineStr">
        <is>
          <t>EUR</t>
        </is>
      </c>
      <c r="J105" s="71" t="inlineStr">
        <is>
          <t>CC-4657</t>
        </is>
      </c>
      <c r="K105" s="71" t="inlineStr">
        <is>
          <t>GL-6325</t>
        </is>
      </c>
      <c r="L105" s="116" t="inlineStr">
        <is>
          <t>Closed</t>
        </is>
      </c>
      <c r="M105" s="71" t="inlineStr">
        <is>
          <t>INV-01104</t>
        </is>
      </c>
      <c r="N105" s="95" t="inlineStr">
        <is>
          <t>Invoiced</t>
        </is>
      </c>
      <c r="O105" s="157" t="n">
        <v>45859</v>
      </c>
      <c r="P105" s="91" t="n">
        <v>0</v>
      </c>
      <c r="Q105" s="70" t="inlineStr">
        <is>
          <t>Sophie Müller</t>
        </is>
      </c>
      <c r="R105" s="70" t="inlineStr">
        <is>
          <t>Emma Johansson</t>
        </is>
      </c>
      <c r="S105" s="70" t="inlineStr"/>
    </row>
    <row r="106" ht="18" customHeight="1">
      <c r="A106" s="114" t="inlineStr">
        <is>
          <t>PO-2025-1105</t>
        </is>
      </c>
      <c r="B106" s="85" t="inlineStr">
        <is>
          <t>EVT-2025-036</t>
        </is>
      </c>
      <c r="C106" s="86" t="inlineStr">
        <is>
          <t>DigitalPharma Studio</t>
        </is>
      </c>
      <c r="D106" s="86" t="inlineStr">
        <is>
          <t>Digital &amp; Web</t>
        </is>
      </c>
      <c r="E106" s="164" t="n">
        <v>45816</v>
      </c>
      <c r="F106" s="164" t="n">
        <v>45823</v>
      </c>
      <c r="G106" s="90">
        <f>F106-E106</f>
        <v/>
      </c>
      <c r="H106" s="87" t="n">
        <v>32218.49</v>
      </c>
      <c r="I106" s="85" t="inlineStr">
        <is>
          <t>EUR</t>
        </is>
      </c>
      <c r="J106" s="85" t="inlineStr">
        <is>
          <t>CC-3086</t>
        </is>
      </c>
      <c r="K106" s="85" t="inlineStr">
        <is>
          <t>GL-6311</t>
        </is>
      </c>
      <c r="L106" s="93" t="inlineStr">
        <is>
          <t>Cancelled</t>
        </is>
      </c>
      <c r="M106" s="85" t="inlineStr">
        <is>
          <t>INV-01105</t>
        </is>
      </c>
      <c r="N106" s="96" t="inlineStr">
        <is>
          <t>Pending</t>
        </is>
      </c>
      <c r="O106" s="164" t="n">
        <v>45865</v>
      </c>
      <c r="P106" s="90" t="n">
        <v>0</v>
      </c>
      <c r="Q106" s="86" t="inlineStr">
        <is>
          <t>Ana García</t>
        </is>
      </c>
      <c r="R106" s="86" t="inlineStr">
        <is>
          <t>Thomas Dubois</t>
        </is>
      </c>
      <c r="S106" s="86" t="inlineStr"/>
    </row>
    <row r="107" ht="18" customHeight="1">
      <c r="A107" s="115" t="inlineStr">
        <is>
          <t>PO-2025-1106</t>
        </is>
      </c>
      <c r="B107" s="71" t="inlineStr">
        <is>
          <t>EVT-2025-036</t>
        </is>
      </c>
      <c r="C107" s="70" t="inlineStr">
        <is>
          <t>Translingua Pro</t>
        </is>
      </c>
      <c r="D107" s="70" t="inlineStr">
        <is>
          <t>Translation &amp; Interpretation</t>
        </is>
      </c>
      <c r="E107" s="157" t="n">
        <v>45775</v>
      </c>
      <c r="F107" s="157" t="n">
        <v>45784</v>
      </c>
      <c r="G107" s="91">
        <f>F107-E107</f>
        <v/>
      </c>
      <c r="H107" s="73" t="n">
        <v>28102.65</v>
      </c>
      <c r="I107" s="71" t="inlineStr">
        <is>
          <t>EUR</t>
        </is>
      </c>
      <c r="J107" s="71" t="inlineStr">
        <is>
          <t>CC-1530</t>
        </is>
      </c>
      <c r="K107" s="71" t="inlineStr">
        <is>
          <t>GL-6311</t>
        </is>
      </c>
      <c r="L107" s="116" t="inlineStr">
        <is>
          <t>Closed</t>
        </is>
      </c>
      <c r="M107" s="71" t="inlineStr">
        <is>
          <t>INV-01106</t>
        </is>
      </c>
      <c r="N107" s="76" t="inlineStr">
        <is>
          <t>Disputed</t>
        </is>
      </c>
      <c r="O107" s="157" t="n">
        <v>45865</v>
      </c>
      <c r="P107" s="91" t="n">
        <v>0</v>
      </c>
      <c r="Q107" s="70" t="inlineStr">
        <is>
          <t>Lucas Dupont</t>
        </is>
      </c>
      <c r="R107" s="70" t="inlineStr">
        <is>
          <t>David O'Brien</t>
        </is>
      </c>
      <c r="S107" s="70" t="inlineStr"/>
    </row>
    <row r="108" ht="18" customHeight="1">
      <c r="A108" s="114" t="inlineStr">
        <is>
          <t>PO-2025-1107</t>
        </is>
      </c>
      <c r="B108" s="85" t="inlineStr">
        <is>
          <t>EVT-2025-037</t>
        </is>
      </c>
      <c r="C108" s="86" t="inlineStr">
        <is>
          <t>Catering Excellence</t>
        </is>
      </c>
      <c r="D108" s="86" t="inlineStr">
        <is>
          <t>F&amp;B / Catering</t>
        </is>
      </c>
      <c r="E108" s="164" t="n">
        <v>45738</v>
      </c>
      <c r="F108" s="164" t="n">
        <v>45742</v>
      </c>
      <c r="G108" s="90">
        <f>F108-E108</f>
        <v/>
      </c>
      <c r="H108" s="87" t="n">
        <v>49010.66</v>
      </c>
      <c r="I108" s="85" t="inlineStr">
        <is>
          <t>EUR</t>
        </is>
      </c>
      <c r="J108" s="85" t="inlineStr">
        <is>
          <t>CC-9129</t>
        </is>
      </c>
      <c r="K108" s="85" t="inlineStr">
        <is>
          <t>GL-6311</t>
        </is>
      </c>
      <c r="L108" s="69" t="inlineStr">
        <is>
          <t>Approved</t>
        </is>
      </c>
      <c r="M108" s="85" t="inlineStr">
        <is>
          <t>INV-01107</t>
        </is>
      </c>
      <c r="N108" s="93" t="inlineStr">
        <is>
          <t>Overdue</t>
        </is>
      </c>
      <c r="O108" s="164" t="n">
        <v>45782</v>
      </c>
      <c r="P108" s="94" t="n">
        <v>415</v>
      </c>
      <c r="Q108" s="86" t="inlineStr">
        <is>
          <t>Thomas Dubois</t>
        </is>
      </c>
      <c r="R108" s="86" t="inlineStr">
        <is>
          <t>Marco Bianchi</t>
        </is>
      </c>
      <c r="S108" s="86" t="inlineStr"/>
    </row>
    <row r="109" ht="18" customHeight="1">
      <c r="A109" s="115" t="inlineStr">
        <is>
          <t>PO-2025-1108</t>
        </is>
      </c>
      <c r="B109" s="71" t="inlineStr">
        <is>
          <t>EVT-2025-037</t>
        </is>
      </c>
      <c r="C109" s="70" t="inlineStr">
        <is>
          <t>KOL Connect</t>
        </is>
      </c>
      <c r="D109" s="70" t="inlineStr">
        <is>
          <t>Speaker Management</t>
        </is>
      </c>
      <c r="E109" s="157" t="n">
        <v>45721</v>
      </c>
      <c r="F109" s="157" t="n">
        <v>45729</v>
      </c>
      <c r="G109" s="91">
        <f>F109-E109</f>
        <v/>
      </c>
      <c r="H109" s="73" t="n">
        <v>29286.02</v>
      </c>
      <c r="I109" s="71" t="inlineStr">
        <is>
          <t>EUR</t>
        </is>
      </c>
      <c r="J109" s="71" t="inlineStr">
        <is>
          <t>CC-6234</t>
        </is>
      </c>
      <c r="K109" s="71" t="inlineStr">
        <is>
          <t>GL-6311</t>
        </is>
      </c>
      <c r="L109" s="93" t="inlineStr">
        <is>
          <t>Cancelled</t>
        </is>
      </c>
      <c r="M109" s="71" t="inlineStr"/>
      <c r="N109" s="69" t="inlineStr">
        <is>
          <t>Paid</t>
        </is>
      </c>
      <c r="O109" s="157" t="n">
        <v>45766</v>
      </c>
      <c r="P109" s="91" t="n">
        <v>0</v>
      </c>
      <c r="Q109" s="70" t="inlineStr">
        <is>
          <t>Marco Bianchi</t>
        </is>
      </c>
      <c r="R109" s="70" t="inlineStr">
        <is>
          <t>Thomas Dubois</t>
        </is>
      </c>
      <c r="S109" s="70" t="inlineStr"/>
    </row>
    <row r="110" ht="18" customHeight="1">
      <c r="A110" s="114" t="inlineStr">
        <is>
          <t>PO-2025-1109</t>
        </is>
      </c>
      <c r="B110" s="85" t="inlineStr">
        <is>
          <t>EVT-2025-037</t>
        </is>
      </c>
      <c r="C110" s="86" t="inlineStr">
        <is>
          <t>Compliance Expert Ltd</t>
        </is>
      </c>
      <c r="D110" s="86" t="inlineStr">
        <is>
          <t>Compliance &amp; Legal</t>
        </is>
      </c>
      <c r="E110" s="164" t="n">
        <v>45705</v>
      </c>
      <c r="F110" s="164" t="n">
        <v>45713</v>
      </c>
      <c r="G110" s="90">
        <f>F110-E110</f>
        <v/>
      </c>
      <c r="H110" s="87" t="n">
        <v>75164.17</v>
      </c>
      <c r="I110" s="85" t="inlineStr">
        <is>
          <t>EUR</t>
        </is>
      </c>
      <c r="J110" s="85" t="inlineStr">
        <is>
          <t>CC-8317</t>
        </is>
      </c>
      <c r="K110" s="85" t="inlineStr">
        <is>
          <t>GL-6310</t>
        </is>
      </c>
      <c r="L110" s="69" t="inlineStr">
        <is>
          <t>Approved</t>
        </is>
      </c>
      <c r="M110" s="85" t="inlineStr">
        <is>
          <t>INV-01109</t>
        </is>
      </c>
      <c r="N110" s="76" t="inlineStr">
        <is>
          <t>Disputed</t>
        </is>
      </c>
      <c r="O110" s="164" t="n">
        <v>45777</v>
      </c>
      <c r="P110" s="90" t="n">
        <v>0</v>
      </c>
      <c r="Q110" s="86" t="inlineStr">
        <is>
          <t>James Wilson</t>
        </is>
      </c>
      <c r="R110" s="86" t="inlineStr">
        <is>
          <t>James Wilson</t>
        </is>
      </c>
      <c r="S110" s="86" t="inlineStr"/>
    </row>
    <row r="111" ht="18" customHeight="1">
      <c r="A111" s="115" t="inlineStr">
        <is>
          <t>PO-2025-1110</t>
        </is>
      </c>
      <c r="B111" s="71" t="inlineStr">
        <is>
          <t>EVT-2025-038</t>
        </is>
      </c>
      <c r="C111" s="70" t="inlineStr">
        <is>
          <t>TechEvent Systems</t>
        </is>
      </c>
      <c r="D111" s="70" t="inlineStr">
        <is>
          <t>Registration &amp; Tech</t>
        </is>
      </c>
      <c r="E111" s="157" t="n">
        <v>45731</v>
      </c>
      <c r="F111" s="157" t="n">
        <v>45735</v>
      </c>
      <c r="G111" s="91">
        <f>F111-E111</f>
        <v/>
      </c>
      <c r="H111" s="73" t="n">
        <v>75874.47</v>
      </c>
      <c r="I111" s="71" t="inlineStr">
        <is>
          <t>EUR</t>
        </is>
      </c>
      <c r="J111" s="71" t="inlineStr">
        <is>
          <t>CC-6742</t>
        </is>
      </c>
      <c r="K111" s="71" t="inlineStr">
        <is>
          <t>GL-6312</t>
        </is>
      </c>
      <c r="L111" s="96" t="inlineStr">
        <is>
          <t>Draft</t>
        </is>
      </c>
      <c r="M111" s="71" t="inlineStr">
        <is>
          <t>INV-01110</t>
        </is>
      </c>
      <c r="N111" s="96" t="inlineStr">
        <is>
          <t>Pending</t>
        </is>
      </c>
      <c r="O111" s="157" t="n">
        <v>45805</v>
      </c>
      <c r="P111" s="91" t="n">
        <v>0</v>
      </c>
      <c r="Q111" s="70" t="inlineStr">
        <is>
          <t>Thomas Dubois</t>
        </is>
      </c>
      <c r="R111" s="70" t="inlineStr">
        <is>
          <t>Ana García</t>
        </is>
      </c>
      <c r="S111" s="70" t="inlineStr"/>
    </row>
    <row r="112" ht="18" customHeight="1">
      <c r="A112" s="114" t="inlineStr">
        <is>
          <t>PO-2025-1111</t>
        </is>
      </c>
      <c r="B112" s="85" t="inlineStr">
        <is>
          <t>EVT-2025-038</t>
        </is>
      </c>
      <c r="C112" s="86" t="inlineStr">
        <is>
          <t>MedAudio AV Solutions</t>
        </is>
      </c>
      <c r="D112" s="86" t="inlineStr">
        <is>
          <t>AV &amp; Technology</t>
        </is>
      </c>
      <c r="E112" s="164" t="n">
        <v>45793</v>
      </c>
      <c r="F112" s="164" t="n">
        <v>45802</v>
      </c>
      <c r="G112" s="90">
        <f>F112-E112</f>
        <v/>
      </c>
      <c r="H112" s="87" t="n">
        <v>41662.1</v>
      </c>
      <c r="I112" s="85" t="inlineStr">
        <is>
          <t>EUR</t>
        </is>
      </c>
      <c r="J112" s="85" t="inlineStr">
        <is>
          <t>CC-8179</t>
        </is>
      </c>
      <c r="K112" s="85" t="inlineStr">
        <is>
          <t>GL-6325</t>
        </is>
      </c>
      <c r="L112" s="88" t="inlineStr">
        <is>
          <t>Sent to Supplier</t>
        </is>
      </c>
      <c r="M112" s="85" t="inlineStr">
        <is>
          <t>INV-01111</t>
        </is>
      </c>
      <c r="N112" s="88" t="inlineStr">
        <is>
          <t>Approved</t>
        </is>
      </c>
      <c r="O112" s="164" t="n">
        <v>45826</v>
      </c>
      <c r="P112" s="90" t="n">
        <v>0</v>
      </c>
      <c r="Q112" s="86" t="inlineStr">
        <is>
          <t>Sophie Müller</t>
        </is>
      </c>
      <c r="R112" s="86" t="inlineStr">
        <is>
          <t>Emma Johansson</t>
        </is>
      </c>
      <c r="S112" s="86" t="inlineStr"/>
    </row>
    <row r="113" ht="18" customHeight="1">
      <c r="A113" s="115" t="inlineStr">
        <is>
          <t>PO-2025-1112</t>
        </is>
      </c>
      <c r="B113" s="71" t="inlineStr">
        <is>
          <t>EVT-2025-038</t>
        </is>
      </c>
      <c r="C113" s="70" t="inlineStr">
        <is>
          <t>Compliance Expert Ltd</t>
        </is>
      </c>
      <c r="D113" s="70" t="inlineStr">
        <is>
          <t>Compliance &amp; Legal</t>
        </is>
      </c>
      <c r="E113" s="157" t="n">
        <v>45759</v>
      </c>
      <c r="F113" s="157" t="n">
        <v>45768</v>
      </c>
      <c r="G113" s="91">
        <f>F113-E113</f>
        <v/>
      </c>
      <c r="H113" s="73" t="n">
        <v>61760.18</v>
      </c>
      <c r="I113" s="71" t="inlineStr">
        <is>
          <t>EUR</t>
        </is>
      </c>
      <c r="J113" s="71" t="inlineStr">
        <is>
          <t>CC-6754</t>
        </is>
      </c>
      <c r="K113" s="71" t="inlineStr">
        <is>
          <t>GL-6320</t>
        </is>
      </c>
      <c r="L113" s="88" t="inlineStr">
        <is>
          <t>Sent to Supplier</t>
        </is>
      </c>
      <c r="M113" s="71" t="inlineStr">
        <is>
          <t>INV-01112</t>
        </is>
      </c>
      <c r="N113" s="88" t="inlineStr">
        <is>
          <t>Approved</t>
        </is>
      </c>
      <c r="O113" s="157" t="n">
        <v>45820</v>
      </c>
      <c r="P113" s="91" t="n">
        <v>0</v>
      </c>
      <c r="Q113" s="70" t="inlineStr">
        <is>
          <t>Marco Bianchi</t>
        </is>
      </c>
      <c r="R113" s="70" t="inlineStr">
        <is>
          <t>Carlos Navarro</t>
        </is>
      </c>
      <c r="S113" s="70" t="inlineStr"/>
    </row>
    <row r="114" ht="18" customHeight="1">
      <c r="A114" s="114" t="inlineStr">
        <is>
          <t>PO-2025-1113</t>
        </is>
      </c>
      <c r="B114" s="85" t="inlineStr">
        <is>
          <t>EVT-2025-039</t>
        </is>
      </c>
      <c r="C114" s="86" t="inlineStr">
        <is>
          <t>Catering Excellence</t>
        </is>
      </c>
      <c r="D114" s="86" t="inlineStr">
        <is>
          <t>F&amp;B / Catering</t>
        </is>
      </c>
      <c r="E114" s="164" t="n">
        <v>45695</v>
      </c>
      <c r="F114" s="164" t="n">
        <v>45701</v>
      </c>
      <c r="G114" s="90">
        <f>F114-E114</f>
        <v/>
      </c>
      <c r="H114" s="87" t="n">
        <v>9888.98</v>
      </c>
      <c r="I114" s="85" t="inlineStr">
        <is>
          <t>EUR</t>
        </is>
      </c>
      <c r="J114" s="85" t="inlineStr">
        <is>
          <t>CC-3664</t>
        </is>
      </c>
      <c r="K114" s="85" t="inlineStr">
        <is>
          <t>GL-6315</t>
        </is>
      </c>
      <c r="L114" s="96" t="inlineStr">
        <is>
          <t>Draft</t>
        </is>
      </c>
      <c r="M114" s="85" t="inlineStr">
        <is>
          <t>INV-01113</t>
        </is>
      </c>
      <c r="N114" s="93" t="inlineStr">
        <is>
          <t>Overdue</t>
        </is>
      </c>
      <c r="O114" s="164" t="n">
        <v>45775</v>
      </c>
      <c r="P114" s="94" t="n">
        <v>422</v>
      </c>
      <c r="Q114" s="86" t="inlineStr">
        <is>
          <t>Ana García</t>
        </is>
      </c>
      <c r="R114" s="86" t="inlineStr">
        <is>
          <t>Isabel Ferreira</t>
        </is>
      </c>
      <c r="S114" s="86" t="inlineStr"/>
    </row>
    <row r="115" ht="18" customHeight="1">
      <c r="A115" s="115" t="inlineStr">
        <is>
          <t>PO-2025-1114</t>
        </is>
      </c>
      <c r="B115" s="71" t="inlineStr">
        <is>
          <t>EVT-2025-040</t>
        </is>
      </c>
      <c r="C115" s="70" t="inlineStr">
        <is>
          <t>HealthMarketing Group</t>
        </is>
      </c>
      <c r="D115" s="70" t="inlineStr">
        <is>
          <t>Marketing Agency</t>
        </is>
      </c>
      <c r="E115" s="157" t="n">
        <v>45976</v>
      </c>
      <c r="F115" s="157" t="n">
        <v>45984</v>
      </c>
      <c r="G115" s="91">
        <f>F115-E115</f>
        <v/>
      </c>
      <c r="H115" s="73" t="n">
        <v>31384.15</v>
      </c>
      <c r="I115" s="71" t="inlineStr">
        <is>
          <t>EUR</t>
        </is>
      </c>
      <c r="J115" s="71" t="inlineStr">
        <is>
          <t>CC-5278</t>
        </is>
      </c>
      <c r="K115" s="71" t="inlineStr">
        <is>
          <t>GL-6310</t>
        </is>
      </c>
      <c r="L115" s="96" t="inlineStr">
        <is>
          <t>Draft</t>
        </is>
      </c>
      <c r="M115" s="71" t="inlineStr"/>
      <c r="N115" s="76" t="inlineStr">
        <is>
          <t>Disputed</t>
        </is>
      </c>
      <c r="O115" s="157" t="n">
        <v>46007</v>
      </c>
      <c r="P115" s="91" t="n">
        <v>0</v>
      </c>
      <c r="Q115" s="70" t="inlineStr">
        <is>
          <t>Lucas Dupont</t>
        </is>
      </c>
      <c r="R115" s="70" t="inlineStr">
        <is>
          <t>Sophie Müller</t>
        </is>
      </c>
      <c r="S115" s="70" t="inlineStr"/>
    </row>
    <row r="116" ht="18" customHeight="1">
      <c r="A116" s="114" t="inlineStr">
        <is>
          <t>PO-2025-1115</t>
        </is>
      </c>
      <c r="B116" s="85" t="inlineStr">
        <is>
          <t>EVT-2025-040</t>
        </is>
      </c>
      <c r="C116" s="86" t="inlineStr">
        <is>
          <t>Venue Masters EMEA</t>
        </is>
      </c>
      <c r="D116" s="86" t="inlineStr">
        <is>
          <t>Venue Sourcing</t>
        </is>
      </c>
      <c r="E116" s="164" t="n">
        <v>45903</v>
      </c>
      <c r="F116" s="164" t="n">
        <v>45912</v>
      </c>
      <c r="G116" s="90">
        <f>F116-E116</f>
        <v/>
      </c>
      <c r="H116" s="87" t="n">
        <v>72407.17</v>
      </c>
      <c r="I116" s="85" t="inlineStr">
        <is>
          <t>EUR</t>
        </is>
      </c>
      <c r="J116" s="85" t="inlineStr">
        <is>
          <t>CC-3636</t>
        </is>
      </c>
      <c r="K116" s="85" t="inlineStr">
        <is>
          <t>GL-6325</t>
        </is>
      </c>
      <c r="L116" s="96" t="inlineStr">
        <is>
          <t>Draft</t>
        </is>
      </c>
      <c r="M116" s="85" t="inlineStr">
        <is>
          <t>INV-01115</t>
        </is>
      </c>
      <c r="N116" s="69" t="inlineStr">
        <is>
          <t>Paid</t>
        </is>
      </c>
      <c r="O116" s="164" t="n">
        <v>45989</v>
      </c>
      <c r="P116" s="90" t="n">
        <v>0</v>
      </c>
      <c r="Q116" s="86" t="inlineStr">
        <is>
          <t>Lena Schneider</t>
        </is>
      </c>
      <c r="R116" s="86" t="inlineStr">
        <is>
          <t>Marco Bianchi</t>
        </is>
      </c>
      <c r="S116" s="86" t="inlineStr"/>
    </row>
    <row r="117" ht="18" customHeight="1">
      <c r="A117" s="115" t="inlineStr">
        <is>
          <t>PO-2025-1116</t>
        </is>
      </c>
      <c r="B117" s="71" t="inlineStr">
        <is>
          <t>EVT-2025-040</t>
        </is>
      </c>
      <c r="C117" s="70" t="inlineStr">
        <is>
          <t>DigitalPharma Studio</t>
        </is>
      </c>
      <c r="D117" s="70" t="inlineStr">
        <is>
          <t>Digital &amp; Web</t>
        </is>
      </c>
      <c r="E117" s="157" t="n">
        <v>45947</v>
      </c>
      <c r="F117" s="157" t="n">
        <v>45957</v>
      </c>
      <c r="G117" s="91">
        <f>F117-E117</f>
        <v/>
      </c>
      <c r="H117" s="73" t="n">
        <v>20527.36</v>
      </c>
      <c r="I117" s="71" t="inlineStr">
        <is>
          <t>EUR</t>
        </is>
      </c>
      <c r="J117" s="71" t="inlineStr">
        <is>
          <t>CC-1507</t>
        </is>
      </c>
      <c r="K117" s="71" t="inlineStr">
        <is>
          <t>GL-6315</t>
        </is>
      </c>
      <c r="L117" s="93" t="inlineStr">
        <is>
          <t>Cancelled</t>
        </is>
      </c>
      <c r="M117" s="71" t="inlineStr">
        <is>
          <t>INV-01116</t>
        </is>
      </c>
      <c r="N117" s="96" t="inlineStr">
        <is>
          <t>Cancelled</t>
        </is>
      </c>
      <c r="O117" s="157" t="n">
        <v>45998</v>
      </c>
      <c r="P117" s="91" t="n">
        <v>0</v>
      </c>
      <c r="Q117" s="70" t="inlineStr">
        <is>
          <t>Sophie Müller</t>
        </is>
      </c>
      <c r="R117" s="70" t="inlineStr">
        <is>
          <t>David O'Brien</t>
        </is>
      </c>
      <c r="S117" s="70" t="inlineStr"/>
    </row>
    <row r="118" ht="18" customHeight="1">
      <c r="A118" s="114" t="inlineStr">
        <is>
          <t>PO-2025-1117</t>
        </is>
      </c>
      <c r="B118" s="85" t="inlineStr">
        <is>
          <t>EVT-2025-041</t>
        </is>
      </c>
      <c r="C118" s="86" t="inlineStr">
        <is>
          <t>Prime Hospitality Group</t>
        </is>
      </c>
      <c r="D118" s="86" t="inlineStr">
        <is>
          <t>Hotel &amp; Venue</t>
        </is>
      </c>
      <c r="E118" s="164" t="n">
        <v>45857</v>
      </c>
      <c r="F118" s="164" t="n">
        <v>45866</v>
      </c>
      <c r="G118" s="90">
        <f>F118-E118</f>
        <v/>
      </c>
      <c r="H118" s="87" t="n">
        <v>63180.88</v>
      </c>
      <c r="I118" s="85" t="inlineStr">
        <is>
          <t>EUR</t>
        </is>
      </c>
      <c r="J118" s="85" t="inlineStr">
        <is>
          <t>CC-3573</t>
        </is>
      </c>
      <c r="K118" s="85" t="inlineStr">
        <is>
          <t>GL-6310</t>
        </is>
      </c>
      <c r="L118" s="96" t="inlineStr">
        <is>
          <t>Draft</t>
        </is>
      </c>
      <c r="M118" s="85" t="inlineStr">
        <is>
          <t>INV-01117</t>
        </is>
      </c>
      <c r="N118" s="93" t="inlineStr">
        <is>
          <t>Overdue</t>
        </is>
      </c>
      <c r="O118" s="164" t="n">
        <v>45943</v>
      </c>
      <c r="P118" s="94" t="n">
        <v>254</v>
      </c>
      <c r="Q118" s="86" t="inlineStr">
        <is>
          <t>Lucas Dupont</t>
        </is>
      </c>
      <c r="R118" s="86" t="inlineStr">
        <is>
          <t>James Wilson</t>
        </is>
      </c>
      <c r="S118" s="86" t="inlineStr"/>
    </row>
    <row r="119" ht="18" customHeight="1">
      <c r="A119" s="115" t="inlineStr">
        <is>
          <t>PO-2025-1118</t>
        </is>
      </c>
      <c r="B119" s="71" t="inlineStr">
        <is>
          <t>EVT-2025-041</t>
        </is>
      </c>
      <c r="C119" s="70" t="inlineStr">
        <is>
          <t>PrintMed Solutions</t>
        </is>
      </c>
      <c r="D119" s="70" t="inlineStr">
        <is>
          <t>Print &amp; Production</t>
        </is>
      </c>
      <c r="E119" s="157" t="n">
        <v>45895</v>
      </c>
      <c r="F119" s="157" t="n">
        <v>45904</v>
      </c>
      <c r="G119" s="91">
        <f>F119-E119</f>
        <v/>
      </c>
      <c r="H119" s="73" t="n">
        <v>23978.2</v>
      </c>
      <c r="I119" s="71" t="inlineStr">
        <is>
          <t>EUR</t>
        </is>
      </c>
      <c r="J119" s="71" t="inlineStr">
        <is>
          <t>CC-9849</t>
        </is>
      </c>
      <c r="K119" s="71" t="inlineStr">
        <is>
          <t>GL-6312</t>
        </is>
      </c>
      <c r="L119" s="93" t="inlineStr">
        <is>
          <t>Cancelled</t>
        </is>
      </c>
      <c r="M119" s="71" t="inlineStr">
        <is>
          <t>INV-01118</t>
        </is>
      </c>
      <c r="N119" s="69" t="inlineStr">
        <is>
          <t>Paid</t>
        </is>
      </c>
      <c r="O119" s="157" t="n">
        <v>45937</v>
      </c>
      <c r="P119" s="91" t="n">
        <v>0</v>
      </c>
      <c r="Q119" s="70" t="inlineStr">
        <is>
          <t>Isabel Ferreira</t>
        </is>
      </c>
      <c r="R119" s="70" t="inlineStr">
        <is>
          <t>Isabel Ferreira</t>
        </is>
      </c>
      <c r="S119" s="70" t="inlineStr"/>
    </row>
    <row r="120" ht="18" customHeight="1">
      <c r="A120" s="114" t="inlineStr">
        <is>
          <t>PO-2025-1119</t>
        </is>
      </c>
      <c r="B120" s="85" t="inlineStr">
        <is>
          <t>EVT-2025-041</t>
        </is>
      </c>
      <c r="C120" s="86" t="inlineStr">
        <is>
          <t>HealthMarketing Group</t>
        </is>
      </c>
      <c r="D120" s="86" t="inlineStr">
        <is>
          <t>Marketing Agency</t>
        </is>
      </c>
      <c r="E120" s="164" t="n">
        <v>45900</v>
      </c>
      <c r="F120" s="164" t="n">
        <v>45904</v>
      </c>
      <c r="G120" s="90">
        <f>F120-E120</f>
        <v/>
      </c>
      <c r="H120" s="87" t="n">
        <v>64498.22</v>
      </c>
      <c r="I120" s="85" t="inlineStr">
        <is>
          <t>EUR</t>
        </is>
      </c>
      <c r="J120" s="85" t="inlineStr">
        <is>
          <t>CC-1813</t>
        </is>
      </c>
      <c r="K120" s="85" t="inlineStr">
        <is>
          <t>GL-6315</t>
        </is>
      </c>
      <c r="L120" s="116" t="inlineStr">
        <is>
          <t>Closed</t>
        </is>
      </c>
      <c r="M120" s="85" t="inlineStr">
        <is>
          <t>INV-01119</t>
        </is>
      </c>
      <c r="N120" s="96" t="inlineStr">
        <is>
          <t>Pending</t>
        </is>
      </c>
      <c r="O120" s="164" t="n">
        <v>45945</v>
      </c>
      <c r="P120" s="90" t="n">
        <v>0</v>
      </c>
      <c r="Q120" s="86" t="inlineStr">
        <is>
          <t>Lena Schneider</t>
        </is>
      </c>
      <c r="R120" s="86" t="inlineStr">
        <is>
          <t>Carlos Navarro</t>
        </is>
      </c>
      <c r="S120" s="86" t="inlineStr"/>
    </row>
    <row r="121" ht="18" customHeight="1">
      <c r="A121" s="115" t="inlineStr">
        <is>
          <t>PO-2025-1120</t>
        </is>
      </c>
      <c r="B121" s="71" t="inlineStr">
        <is>
          <t>EVT-2025-041</t>
        </is>
      </c>
      <c r="C121" s="70" t="inlineStr">
        <is>
          <t>Catering Excellence</t>
        </is>
      </c>
      <c r="D121" s="70" t="inlineStr">
        <is>
          <t>F&amp;B / Catering</t>
        </is>
      </c>
      <c r="E121" s="157" t="n">
        <v>45907</v>
      </c>
      <c r="F121" s="157" t="n">
        <v>45910</v>
      </c>
      <c r="G121" s="91">
        <f>F121-E121</f>
        <v/>
      </c>
      <c r="H121" s="73" t="n">
        <v>30954.54</v>
      </c>
      <c r="I121" s="71" t="inlineStr">
        <is>
          <t>EUR</t>
        </is>
      </c>
      <c r="J121" s="71" t="inlineStr">
        <is>
          <t>CC-6911</t>
        </is>
      </c>
      <c r="K121" s="71" t="inlineStr">
        <is>
          <t>GL-6310</t>
        </is>
      </c>
      <c r="L121" s="88" t="inlineStr">
        <is>
          <t>Sent to Supplier</t>
        </is>
      </c>
      <c r="M121" s="71" t="inlineStr">
        <is>
          <t>INV-01120</t>
        </is>
      </c>
      <c r="N121" s="93" t="inlineStr">
        <is>
          <t>Overdue</t>
        </is>
      </c>
      <c r="O121" s="157" t="n">
        <v>45946</v>
      </c>
      <c r="P121" s="94" t="n">
        <v>251</v>
      </c>
      <c r="Q121" s="70" t="inlineStr">
        <is>
          <t>Marco Bianchi</t>
        </is>
      </c>
      <c r="R121" s="70" t="inlineStr">
        <is>
          <t>Isabel Ferreira</t>
        </is>
      </c>
      <c r="S121" s="70" t="inlineStr"/>
    </row>
    <row r="122" ht="18" customHeight="1">
      <c r="A122" s="114" t="inlineStr">
        <is>
          <t>PO-2025-1121</t>
        </is>
      </c>
      <c r="B122" s="85" t="inlineStr">
        <is>
          <t>EVT-2025-042</t>
        </is>
      </c>
      <c r="C122" s="86" t="inlineStr">
        <is>
          <t>Catering Excellence</t>
        </is>
      </c>
      <c r="D122" s="86" t="inlineStr">
        <is>
          <t>F&amp;B / Catering</t>
        </is>
      </c>
      <c r="E122" s="164" t="n">
        <v>45904</v>
      </c>
      <c r="F122" s="164" t="n">
        <v>45914</v>
      </c>
      <c r="G122" s="90">
        <f>F122-E122</f>
        <v/>
      </c>
      <c r="H122" s="87" t="n">
        <v>14504.36</v>
      </c>
      <c r="I122" s="85" t="inlineStr">
        <is>
          <t>EUR</t>
        </is>
      </c>
      <c r="J122" s="85" t="inlineStr">
        <is>
          <t>CC-4271</t>
        </is>
      </c>
      <c r="K122" s="85" t="inlineStr">
        <is>
          <t>GL-6310</t>
        </is>
      </c>
      <c r="L122" s="96" t="inlineStr">
        <is>
          <t>Draft</t>
        </is>
      </c>
      <c r="M122" s="85" t="inlineStr"/>
      <c r="N122" s="88" t="inlineStr">
        <is>
          <t>Approved</t>
        </is>
      </c>
      <c r="O122" s="164" t="n">
        <v>45986</v>
      </c>
      <c r="P122" s="90" t="n">
        <v>0</v>
      </c>
      <c r="Q122" s="86" t="inlineStr">
        <is>
          <t>James Wilson</t>
        </is>
      </c>
      <c r="R122" s="86" t="inlineStr">
        <is>
          <t>Sophie Müller</t>
        </is>
      </c>
      <c r="S122" s="86" t="inlineStr"/>
    </row>
    <row r="123" ht="18" customHeight="1">
      <c r="A123" s="115" t="inlineStr">
        <is>
          <t>PO-2025-1122</t>
        </is>
      </c>
      <c r="B123" s="71" t="inlineStr">
        <is>
          <t>EVT-2025-043</t>
        </is>
      </c>
      <c r="C123" s="70" t="inlineStr">
        <is>
          <t>InterCongress PCO</t>
        </is>
      </c>
      <c r="D123" s="70" t="inlineStr">
        <is>
          <t>PCO / Event Agency</t>
        </is>
      </c>
      <c r="E123" s="157" t="n">
        <v>45652</v>
      </c>
      <c r="F123" s="157" t="n">
        <v>45659</v>
      </c>
      <c r="G123" s="91">
        <f>F123-E123</f>
        <v/>
      </c>
      <c r="H123" s="73" t="n">
        <v>34361.96</v>
      </c>
      <c r="I123" s="71" t="inlineStr">
        <is>
          <t>EUR</t>
        </is>
      </c>
      <c r="J123" s="71" t="inlineStr">
        <is>
          <t>CC-2342</t>
        </is>
      </c>
      <c r="K123" s="71" t="inlineStr">
        <is>
          <t>GL-6315</t>
        </is>
      </c>
      <c r="L123" s="96" t="inlineStr">
        <is>
          <t>Draft</t>
        </is>
      </c>
      <c r="M123" s="71" t="inlineStr">
        <is>
          <t>INV-01122</t>
        </is>
      </c>
      <c r="N123" s="88" t="inlineStr">
        <is>
          <t>Approved</t>
        </is>
      </c>
      <c r="O123" s="157" t="n">
        <v>45722</v>
      </c>
      <c r="P123" s="91" t="n">
        <v>0</v>
      </c>
      <c r="Q123" s="70" t="inlineStr">
        <is>
          <t>Isabel Ferreira</t>
        </is>
      </c>
      <c r="R123" s="70" t="inlineStr">
        <is>
          <t>Emma Johansson</t>
        </is>
      </c>
      <c r="S123" s="70" t="inlineStr"/>
    </row>
    <row r="124" ht="18" customHeight="1">
      <c r="A124" s="114" t="inlineStr">
        <is>
          <t>PO-2025-1123</t>
        </is>
      </c>
      <c r="B124" s="85" t="inlineStr">
        <is>
          <t>EVT-2025-043</t>
        </is>
      </c>
      <c r="C124" s="86" t="inlineStr">
        <is>
          <t>Prime Hospitality Group</t>
        </is>
      </c>
      <c r="D124" s="86" t="inlineStr">
        <is>
          <t>Hotel &amp; Venue</t>
        </is>
      </c>
      <c r="E124" s="164" t="n">
        <v>45674</v>
      </c>
      <c r="F124" s="164" t="n">
        <v>45684</v>
      </c>
      <c r="G124" s="90">
        <f>F124-E124</f>
        <v/>
      </c>
      <c r="H124" s="87" t="n">
        <v>31243.19</v>
      </c>
      <c r="I124" s="85" t="inlineStr">
        <is>
          <t>EUR</t>
        </is>
      </c>
      <c r="J124" s="85" t="inlineStr">
        <is>
          <t>CC-5341</t>
        </is>
      </c>
      <c r="K124" s="85" t="inlineStr">
        <is>
          <t>GL-6310</t>
        </is>
      </c>
      <c r="L124" s="93" t="inlineStr">
        <is>
          <t>Cancelled</t>
        </is>
      </c>
      <c r="M124" s="85" t="inlineStr">
        <is>
          <t>INV-01123</t>
        </is>
      </c>
      <c r="N124" s="96" t="inlineStr">
        <is>
          <t>Pending</t>
        </is>
      </c>
      <c r="O124" s="164" t="n">
        <v>45734</v>
      </c>
      <c r="P124" s="90" t="n">
        <v>0</v>
      </c>
      <c r="Q124" s="86" t="inlineStr">
        <is>
          <t>Lena Schneider</t>
        </is>
      </c>
      <c r="R124" s="86" t="inlineStr">
        <is>
          <t>Emma Johansson</t>
        </is>
      </c>
      <c r="S124" s="86" t="inlineStr"/>
    </row>
    <row r="125" ht="18" customHeight="1">
      <c r="A125" s="115" t="inlineStr">
        <is>
          <t>PO-2025-1124</t>
        </is>
      </c>
      <c r="B125" s="71" t="inlineStr">
        <is>
          <t>EVT-2025-043</t>
        </is>
      </c>
      <c r="C125" s="70" t="inlineStr">
        <is>
          <t>Translingua Pro</t>
        </is>
      </c>
      <c r="D125" s="70" t="inlineStr">
        <is>
          <t>Translation &amp; Interpretation</t>
        </is>
      </c>
      <c r="E125" s="157" t="n">
        <v>45689</v>
      </c>
      <c r="F125" s="157" t="n">
        <v>45697</v>
      </c>
      <c r="G125" s="91">
        <f>F125-E125</f>
        <v/>
      </c>
      <c r="H125" s="73" t="n">
        <v>28152.65</v>
      </c>
      <c r="I125" s="71" t="inlineStr">
        <is>
          <t>EUR</t>
        </is>
      </c>
      <c r="J125" s="71" t="inlineStr">
        <is>
          <t>CC-7249</t>
        </is>
      </c>
      <c r="K125" s="71" t="inlineStr">
        <is>
          <t>GL-6312</t>
        </is>
      </c>
      <c r="L125" s="76" t="inlineStr">
        <is>
          <t>Pending Approval</t>
        </is>
      </c>
      <c r="M125" s="71" t="inlineStr">
        <is>
          <t>INV-01124</t>
        </is>
      </c>
      <c r="N125" s="95" t="inlineStr">
        <is>
          <t>Invoiced</t>
        </is>
      </c>
      <c r="O125" s="157" t="n">
        <v>45730</v>
      </c>
      <c r="P125" s="91" t="n">
        <v>0</v>
      </c>
      <c r="Q125" s="70" t="inlineStr">
        <is>
          <t>Carlos Navarro</t>
        </is>
      </c>
      <c r="R125" s="70" t="inlineStr">
        <is>
          <t>Ana García</t>
        </is>
      </c>
      <c r="S125" s="70" t="inlineStr"/>
    </row>
    <row r="126" ht="18" customHeight="1">
      <c r="A126" s="114" t="inlineStr">
        <is>
          <t>PO-2025-1125</t>
        </is>
      </c>
      <c r="B126" s="85" t="inlineStr">
        <is>
          <t>EVT-2025-043</t>
        </is>
      </c>
      <c r="C126" s="86" t="inlineStr">
        <is>
          <t>PharmaLogix</t>
        </is>
      </c>
      <c r="D126" s="86" t="inlineStr">
        <is>
          <t>Logistics &amp; Transport</t>
        </is>
      </c>
      <c r="E126" s="164" t="n">
        <v>45666</v>
      </c>
      <c r="F126" s="164" t="n">
        <v>45676</v>
      </c>
      <c r="G126" s="90">
        <f>F126-E126</f>
        <v/>
      </c>
      <c r="H126" s="87" t="n">
        <v>66826.62</v>
      </c>
      <c r="I126" s="85" t="inlineStr">
        <is>
          <t>EUR</t>
        </is>
      </c>
      <c r="J126" s="85" t="inlineStr">
        <is>
          <t>CC-8619</t>
        </is>
      </c>
      <c r="K126" s="85" t="inlineStr">
        <is>
          <t>GL-6312</t>
        </is>
      </c>
      <c r="L126" s="76" t="inlineStr">
        <is>
          <t>Pending Approval</t>
        </is>
      </c>
      <c r="M126" s="85" t="inlineStr">
        <is>
          <t>INV-01125</t>
        </is>
      </c>
      <c r="N126" s="93" t="inlineStr">
        <is>
          <t>Overdue</t>
        </is>
      </c>
      <c r="O126" s="164" t="n">
        <v>45712</v>
      </c>
      <c r="P126" s="94" t="n">
        <v>485</v>
      </c>
      <c r="Q126" s="86" t="inlineStr">
        <is>
          <t>Isabel Ferreira</t>
        </is>
      </c>
      <c r="R126" s="86" t="inlineStr">
        <is>
          <t>David O'Brien</t>
        </is>
      </c>
      <c r="S126" s="86" t="inlineStr"/>
    </row>
    <row r="127" ht="18" customHeight="1">
      <c r="A127" s="115" t="inlineStr">
        <is>
          <t>PO-2025-1126</t>
        </is>
      </c>
      <c r="B127" s="71" t="inlineStr">
        <is>
          <t>EVT-2025-044</t>
        </is>
      </c>
      <c r="C127" s="70" t="inlineStr">
        <is>
          <t>AVIAWORLD Travel</t>
        </is>
      </c>
      <c r="D127" s="70" t="inlineStr">
        <is>
          <t>Travel &amp; Air</t>
        </is>
      </c>
      <c r="E127" s="157" t="n">
        <v>45682</v>
      </c>
      <c r="F127" s="157" t="n">
        <v>45687</v>
      </c>
      <c r="G127" s="91">
        <f>F127-E127</f>
        <v/>
      </c>
      <c r="H127" s="73" t="n">
        <v>67127.12</v>
      </c>
      <c r="I127" s="71" t="inlineStr">
        <is>
          <t>EUR</t>
        </is>
      </c>
      <c r="J127" s="71" t="inlineStr">
        <is>
          <t>CC-2584</t>
        </is>
      </c>
      <c r="K127" s="71" t="inlineStr">
        <is>
          <t>GL-6310</t>
        </is>
      </c>
      <c r="L127" s="93" t="inlineStr">
        <is>
          <t>Cancelled</t>
        </is>
      </c>
      <c r="M127" s="71" t="inlineStr"/>
      <c r="N127" s="93" t="inlineStr">
        <is>
          <t>Overdue</t>
        </is>
      </c>
      <c r="O127" s="157" t="n">
        <v>45715</v>
      </c>
      <c r="P127" s="94" t="n">
        <v>482</v>
      </c>
      <c r="Q127" s="70" t="inlineStr">
        <is>
          <t>Lucas Dupont</t>
        </is>
      </c>
      <c r="R127" s="70" t="inlineStr">
        <is>
          <t>Lena Schneider</t>
        </is>
      </c>
      <c r="S127" s="70" t="inlineStr"/>
    </row>
    <row r="128" ht="18" customHeight="1">
      <c r="A128" s="114" t="inlineStr">
        <is>
          <t>PO-2025-1127</t>
        </is>
      </c>
      <c r="B128" s="85" t="inlineStr">
        <is>
          <t>EVT-2025-045</t>
        </is>
      </c>
      <c r="C128" s="86" t="inlineStr">
        <is>
          <t>InterCongress PCO</t>
        </is>
      </c>
      <c r="D128" s="86" t="inlineStr">
        <is>
          <t>PCO / Event Agency</t>
        </is>
      </c>
      <c r="E128" s="164" t="n">
        <v>45738</v>
      </c>
      <c r="F128" s="164" t="n">
        <v>45744</v>
      </c>
      <c r="G128" s="90">
        <f>F128-E128</f>
        <v/>
      </c>
      <c r="H128" s="87" t="n">
        <v>5724.46</v>
      </c>
      <c r="I128" s="85" t="inlineStr">
        <is>
          <t>EUR</t>
        </is>
      </c>
      <c r="J128" s="85" t="inlineStr">
        <is>
          <t>CC-1999</t>
        </is>
      </c>
      <c r="K128" s="85" t="inlineStr">
        <is>
          <t>GL-6330</t>
        </is>
      </c>
      <c r="L128" s="88" t="inlineStr">
        <is>
          <t>Sent to Supplier</t>
        </is>
      </c>
      <c r="M128" s="85" t="inlineStr">
        <is>
          <t>INV-01127</t>
        </is>
      </c>
      <c r="N128" s="93" t="inlineStr">
        <is>
          <t>Overdue</t>
        </is>
      </c>
      <c r="O128" s="164" t="n">
        <v>45794</v>
      </c>
      <c r="P128" s="94" t="n">
        <v>403</v>
      </c>
      <c r="Q128" s="86" t="inlineStr">
        <is>
          <t>Lena Schneider</t>
        </is>
      </c>
      <c r="R128" s="86" t="inlineStr">
        <is>
          <t>Emma Johansson</t>
        </is>
      </c>
      <c r="S128" s="86" t="inlineStr"/>
    </row>
    <row r="129" ht="18" customHeight="1">
      <c r="A129" s="115" t="inlineStr">
        <is>
          <t>PO-2025-1128</t>
        </is>
      </c>
      <c r="B129" s="71" t="inlineStr">
        <is>
          <t>EVT-2025-045</t>
        </is>
      </c>
      <c r="C129" s="70" t="inlineStr">
        <is>
          <t>Venue Masters EMEA</t>
        </is>
      </c>
      <c r="D129" s="70" t="inlineStr">
        <is>
          <t>Venue Sourcing</t>
        </is>
      </c>
      <c r="E129" s="157" t="n">
        <v>45728</v>
      </c>
      <c r="F129" s="157" t="n">
        <v>45738</v>
      </c>
      <c r="G129" s="91">
        <f>F129-E129</f>
        <v/>
      </c>
      <c r="H129" s="73" t="n">
        <v>67261.64</v>
      </c>
      <c r="I129" s="71" t="inlineStr">
        <is>
          <t>EUR</t>
        </is>
      </c>
      <c r="J129" s="71" t="inlineStr">
        <is>
          <t>CC-4860</t>
        </is>
      </c>
      <c r="K129" s="71" t="inlineStr">
        <is>
          <t>GL-6315</t>
        </is>
      </c>
      <c r="L129" s="69" t="inlineStr">
        <is>
          <t>Approved</t>
        </is>
      </c>
      <c r="M129" s="71" t="inlineStr"/>
      <c r="N129" s="96" t="inlineStr">
        <is>
          <t>Pending</t>
        </is>
      </c>
      <c r="O129" s="157" t="n">
        <v>45792</v>
      </c>
      <c r="P129" s="91" t="n">
        <v>0</v>
      </c>
      <c r="Q129" s="70" t="inlineStr">
        <is>
          <t>Marco Bianchi</t>
        </is>
      </c>
      <c r="R129" s="70" t="inlineStr">
        <is>
          <t>Emma Johansson</t>
        </is>
      </c>
      <c r="S129" s="70" t="inlineStr"/>
    </row>
    <row r="130" ht="18" customHeight="1">
      <c r="A130" s="114" t="inlineStr">
        <is>
          <t>PO-2025-1129</t>
        </is>
      </c>
      <c r="B130" s="85" t="inlineStr">
        <is>
          <t>EVT-2025-045</t>
        </is>
      </c>
      <c r="C130" s="86" t="inlineStr">
        <is>
          <t>Catering Excellence</t>
        </is>
      </c>
      <c r="D130" s="86" t="inlineStr">
        <is>
          <t>F&amp;B / Catering</t>
        </is>
      </c>
      <c r="E130" s="164" t="n">
        <v>45716</v>
      </c>
      <c r="F130" s="164" t="n">
        <v>45719</v>
      </c>
      <c r="G130" s="90">
        <f>F130-E130</f>
        <v/>
      </c>
      <c r="H130" s="87" t="n">
        <v>20871.17</v>
      </c>
      <c r="I130" s="85" t="inlineStr">
        <is>
          <t>EUR</t>
        </is>
      </c>
      <c r="J130" s="85" t="inlineStr">
        <is>
          <t>CC-9226</t>
        </is>
      </c>
      <c r="K130" s="85" t="inlineStr">
        <is>
          <t>GL-6320</t>
        </is>
      </c>
      <c r="L130" s="116" t="inlineStr">
        <is>
          <t>Closed</t>
        </is>
      </c>
      <c r="M130" s="85" t="inlineStr">
        <is>
          <t>INV-01129</t>
        </is>
      </c>
      <c r="N130" s="96" t="inlineStr">
        <is>
          <t>Pending</t>
        </is>
      </c>
      <c r="O130" s="164" t="n">
        <v>45803</v>
      </c>
      <c r="P130" s="90" t="n">
        <v>0</v>
      </c>
      <c r="Q130" s="86" t="inlineStr">
        <is>
          <t>David O'Brien</t>
        </is>
      </c>
      <c r="R130" s="86" t="inlineStr">
        <is>
          <t>Maria Kowalski</t>
        </is>
      </c>
      <c r="S130" s="86" t="inlineStr"/>
    </row>
    <row r="131" ht="18" customHeight="1">
      <c r="A131" s="115" t="inlineStr">
        <is>
          <t>PO-2025-1130</t>
        </is>
      </c>
      <c r="B131" s="71" t="inlineStr">
        <is>
          <t>EVT-2025-045</t>
        </is>
      </c>
      <c r="C131" s="70" t="inlineStr">
        <is>
          <t>Prime Hospitality Group</t>
        </is>
      </c>
      <c r="D131" s="70" t="inlineStr">
        <is>
          <t>Hotel &amp; Venue</t>
        </is>
      </c>
      <c r="E131" s="157" t="n">
        <v>45733</v>
      </c>
      <c r="F131" s="157" t="n">
        <v>45738</v>
      </c>
      <c r="G131" s="91">
        <f>F131-E131</f>
        <v/>
      </c>
      <c r="H131" s="73" t="n">
        <v>46511.77</v>
      </c>
      <c r="I131" s="71" t="inlineStr">
        <is>
          <t>EUR</t>
        </is>
      </c>
      <c r="J131" s="71" t="inlineStr">
        <is>
          <t>CC-2970</t>
        </is>
      </c>
      <c r="K131" s="71" t="inlineStr">
        <is>
          <t>GL-6330</t>
        </is>
      </c>
      <c r="L131" s="88" t="inlineStr">
        <is>
          <t>Sent to Supplier</t>
        </is>
      </c>
      <c r="M131" s="71" t="inlineStr">
        <is>
          <t>INV-01130</t>
        </is>
      </c>
      <c r="N131" s="96" t="inlineStr">
        <is>
          <t>Pending</t>
        </is>
      </c>
      <c r="O131" s="157" t="n">
        <v>45802</v>
      </c>
      <c r="P131" s="91" t="n">
        <v>0</v>
      </c>
      <c r="Q131" s="70" t="inlineStr">
        <is>
          <t>Sophie Müller</t>
        </is>
      </c>
      <c r="R131" s="70" t="inlineStr">
        <is>
          <t>Sophie Müller</t>
        </is>
      </c>
      <c r="S131" s="70" t="inlineStr"/>
    </row>
    <row r="132" ht="18" customHeight="1">
      <c r="A132" s="114" t="inlineStr">
        <is>
          <t>PO-2025-1131</t>
        </is>
      </c>
      <c r="B132" s="85" t="inlineStr">
        <is>
          <t>EVT-2025-046</t>
        </is>
      </c>
      <c r="C132" s="86" t="inlineStr">
        <is>
          <t>InterCongress PCO</t>
        </is>
      </c>
      <c r="D132" s="86" t="inlineStr">
        <is>
          <t>PCO / Event Agency</t>
        </is>
      </c>
      <c r="E132" s="164" t="n">
        <v>45770</v>
      </c>
      <c r="F132" s="164" t="n">
        <v>45776</v>
      </c>
      <c r="G132" s="90">
        <f>F132-E132</f>
        <v/>
      </c>
      <c r="H132" s="87" t="n">
        <v>79089.86</v>
      </c>
      <c r="I132" s="85" t="inlineStr">
        <is>
          <t>EUR</t>
        </is>
      </c>
      <c r="J132" s="85" t="inlineStr">
        <is>
          <t>CC-3067</t>
        </is>
      </c>
      <c r="K132" s="85" t="inlineStr">
        <is>
          <t>GL-6310</t>
        </is>
      </c>
      <c r="L132" s="88" t="inlineStr">
        <is>
          <t>Sent to Supplier</t>
        </is>
      </c>
      <c r="M132" s="85" t="inlineStr">
        <is>
          <t>INV-01131</t>
        </is>
      </c>
      <c r="N132" s="96" t="inlineStr">
        <is>
          <t>Cancelled</t>
        </is>
      </c>
      <c r="O132" s="164" t="n">
        <v>45813</v>
      </c>
      <c r="P132" s="90" t="n">
        <v>0</v>
      </c>
      <c r="Q132" s="86" t="inlineStr">
        <is>
          <t>Marco Bianchi</t>
        </is>
      </c>
      <c r="R132" s="86" t="inlineStr">
        <is>
          <t>Maria Kowalski</t>
        </is>
      </c>
      <c r="S132" s="86" t="inlineStr"/>
    </row>
    <row r="133" ht="18" customHeight="1">
      <c r="A133" s="115" t="inlineStr">
        <is>
          <t>PO-2025-1132</t>
        </is>
      </c>
      <c r="B133" s="71" t="inlineStr">
        <is>
          <t>EVT-2025-046</t>
        </is>
      </c>
      <c r="C133" s="70" t="inlineStr">
        <is>
          <t>PrintMed Solutions</t>
        </is>
      </c>
      <c r="D133" s="70" t="inlineStr">
        <is>
          <t>Print &amp; Production</t>
        </is>
      </c>
      <c r="E133" s="157" t="n">
        <v>45762</v>
      </c>
      <c r="F133" s="157" t="n">
        <v>45768</v>
      </c>
      <c r="G133" s="91">
        <f>F133-E133</f>
        <v/>
      </c>
      <c r="H133" s="73" t="n">
        <v>32176.74</v>
      </c>
      <c r="I133" s="71" t="inlineStr">
        <is>
          <t>EUR</t>
        </is>
      </c>
      <c r="J133" s="71" t="inlineStr">
        <is>
          <t>CC-3422</t>
        </is>
      </c>
      <c r="K133" s="71" t="inlineStr">
        <is>
          <t>GL-6330</t>
        </is>
      </c>
      <c r="L133" s="116" t="inlineStr">
        <is>
          <t>Closed</t>
        </is>
      </c>
      <c r="M133" s="71" t="inlineStr"/>
      <c r="N133" s="96" t="inlineStr">
        <is>
          <t>Pending</t>
        </is>
      </c>
      <c r="O133" s="157" t="n">
        <v>45819</v>
      </c>
      <c r="P133" s="91" t="n">
        <v>0</v>
      </c>
      <c r="Q133" s="70" t="inlineStr">
        <is>
          <t>Isabel Ferreira</t>
        </is>
      </c>
      <c r="R133" s="70" t="inlineStr">
        <is>
          <t>Lucas Dupont</t>
        </is>
      </c>
      <c r="S133" s="70" t="inlineStr"/>
    </row>
    <row r="134" ht="18" customHeight="1">
      <c r="A134" s="114" t="inlineStr">
        <is>
          <t>PO-2025-1133</t>
        </is>
      </c>
      <c r="B134" s="85" t="inlineStr">
        <is>
          <t>EVT-2025-046</t>
        </is>
      </c>
      <c r="C134" s="86" t="inlineStr">
        <is>
          <t>TechEvent Systems</t>
        </is>
      </c>
      <c r="D134" s="86" t="inlineStr">
        <is>
          <t>Registration &amp; Tech</t>
        </is>
      </c>
      <c r="E134" s="164" t="n">
        <v>45719</v>
      </c>
      <c r="F134" s="164" t="n">
        <v>45723</v>
      </c>
      <c r="G134" s="90">
        <f>F134-E134</f>
        <v/>
      </c>
      <c r="H134" s="87" t="n">
        <v>28894.59</v>
      </c>
      <c r="I134" s="85" t="inlineStr">
        <is>
          <t>EUR</t>
        </is>
      </c>
      <c r="J134" s="85" t="inlineStr">
        <is>
          <t>CC-2425</t>
        </is>
      </c>
      <c r="K134" s="85" t="inlineStr">
        <is>
          <t>GL-6315</t>
        </is>
      </c>
      <c r="L134" s="116" t="inlineStr">
        <is>
          <t>Closed</t>
        </is>
      </c>
      <c r="M134" s="85" t="inlineStr">
        <is>
          <t>INV-01133</t>
        </is>
      </c>
      <c r="N134" s="96" t="inlineStr">
        <is>
          <t>Pending</t>
        </is>
      </c>
      <c r="O134" s="164" t="n">
        <v>45807</v>
      </c>
      <c r="P134" s="90" t="n">
        <v>0</v>
      </c>
      <c r="Q134" s="86" t="inlineStr">
        <is>
          <t>Emma Johansson</t>
        </is>
      </c>
      <c r="R134" s="86" t="inlineStr">
        <is>
          <t>Lena Schneider</t>
        </is>
      </c>
      <c r="S134" s="86" t="inlineStr"/>
    </row>
    <row r="135" ht="18" customHeight="1">
      <c r="A135" s="115" t="inlineStr">
        <is>
          <t>PO-2025-1134</t>
        </is>
      </c>
      <c r="B135" s="71" t="inlineStr">
        <is>
          <t>EVT-2025-047</t>
        </is>
      </c>
      <c r="C135" s="70" t="inlineStr">
        <is>
          <t>KOL Connect</t>
        </is>
      </c>
      <c r="D135" s="70" t="inlineStr">
        <is>
          <t>Speaker Management</t>
        </is>
      </c>
      <c r="E135" s="157" t="n">
        <v>45878</v>
      </c>
      <c r="F135" s="157" t="n">
        <v>45885</v>
      </c>
      <c r="G135" s="91">
        <f>F135-E135</f>
        <v/>
      </c>
      <c r="H135" s="73" t="n">
        <v>28406.69</v>
      </c>
      <c r="I135" s="71" t="inlineStr">
        <is>
          <t>EUR</t>
        </is>
      </c>
      <c r="J135" s="71" t="inlineStr">
        <is>
          <t>CC-9514</t>
        </is>
      </c>
      <c r="K135" s="71" t="inlineStr">
        <is>
          <t>GL-6315</t>
        </is>
      </c>
      <c r="L135" s="96" t="inlineStr">
        <is>
          <t>Draft</t>
        </is>
      </c>
      <c r="M135" s="71" t="inlineStr">
        <is>
          <t>INV-01134</t>
        </is>
      </c>
      <c r="N135" s="96" t="inlineStr">
        <is>
          <t>Cancelled</t>
        </is>
      </c>
      <c r="O135" s="157" t="n">
        <v>45928</v>
      </c>
      <c r="P135" s="91" t="n">
        <v>0</v>
      </c>
      <c r="Q135" s="70" t="inlineStr">
        <is>
          <t>Thomas Dubois</t>
        </is>
      </c>
      <c r="R135" s="70" t="inlineStr">
        <is>
          <t>David O'Brien</t>
        </is>
      </c>
      <c r="S135" s="70" t="inlineStr"/>
    </row>
    <row r="136" ht="18" customHeight="1">
      <c r="A136" s="114" t="inlineStr">
        <is>
          <t>PO-2025-1135</t>
        </is>
      </c>
      <c r="B136" s="85" t="inlineStr">
        <is>
          <t>EVT-2025-047</t>
        </is>
      </c>
      <c r="C136" s="86" t="inlineStr">
        <is>
          <t>Venue Masters EMEA</t>
        </is>
      </c>
      <c r="D136" s="86" t="inlineStr">
        <is>
          <t>Venue Sourcing</t>
        </is>
      </c>
      <c r="E136" s="164" t="n">
        <v>45861</v>
      </c>
      <c r="F136" s="164" t="n">
        <v>45870</v>
      </c>
      <c r="G136" s="90">
        <f>F136-E136</f>
        <v/>
      </c>
      <c r="H136" s="87" t="n">
        <v>56240.36</v>
      </c>
      <c r="I136" s="85" t="inlineStr">
        <is>
          <t>EUR</t>
        </is>
      </c>
      <c r="J136" s="85" t="inlineStr">
        <is>
          <t>CC-2843</t>
        </is>
      </c>
      <c r="K136" s="85" t="inlineStr">
        <is>
          <t>GL-6315</t>
        </is>
      </c>
      <c r="L136" s="76" t="inlineStr">
        <is>
          <t>Pending Approval</t>
        </is>
      </c>
      <c r="M136" s="85" t="inlineStr">
        <is>
          <t>INV-01135</t>
        </is>
      </c>
      <c r="N136" s="88" t="inlineStr">
        <is>
          <t>Approved</t>
        </is>
      </c>
      <c r="O136" s="164" t="n">
        <v>45928</v>
      </c>
      <c r="P136" s="90" t="n">
        <v>0</v>
      </c>
      <c r="Q136" s="86" t="inlineStr">
        <is>
          <t>Sophie Müller</t>
        </is>
      </c>
      <c r="R136" s="86" t="inlineStr">
        <is>
          <t>David O'Brien</t>
        </is>
      </c>
      <c r="S136" s="86" t="inlineStr"/>
    </row>
    <row r="137" ht="18" customHeight="1">
      <c r="A137" s="115" t="inlineStr">
        <is>
          <t>PO-2025-1136</t>
        </is>
      </c>
      <c r="B137" s="71" t="inlineStr">
        <is>
          <t>EVT-2025-047</t>
        </is>
      </c>
      <c r="C137" s="70" t="inlineStr">
        <is>
          <t>PharmaLogix</t>
        </is>
      </c>
      <c r="D137" s="70" t="inlineStr">
        <is>
          <t>Logistics &amp; Transport</t>
        </is>
      </c>
      <c r="E137" s="157" t="n">
        <v>45880</v>
      </c>
      <c r="F137" s="157" t="n">
        <v>45884</v>
      </c>
      <c r="G137" s="91">
        <f>F137-E137</f>
        <v/>
      </c>
      <c r="H137" s="73" t="n">
        <v>75601.2</v>
      </c>
      <c r="I137" s="71" t="inlineStr">
        <is>
          <t>EUR</t>
        </is>
      </c>
      <c r="J137" s="71" t="inlineStr">
        <is>
          <t>CC-2730</t>
        </is>
      </c>
      <c r="K137" s="71" t="inlineStr">
        <is>
          <t>GL-6320</t>
        </is>
      </c>
      <c r="L137" s="96" t="inlineStr">
        <is>
          <t>Draft</t>
        </is>
      </c>
      <c r="M137" s="71" t="inlineStr">
        <is>
          <t>INV-01136</t>
        </is>
      </c>
      <c r="N137" s="96" t="inlineStr">
        <is>
          <t>Pending</t>
        </is>
      </c>
      <c r="O137" s="157" t="n">
        <v>45947</v>
      </c>
      <c r="P137" s="91" t="n">
        <v>0</v>
      </c>
      <c r="Q137" s="70" t="inlineStr">
        <is>
          <t>Isabel Ferreira</t>
        </is>
      </c>
      <c r="R137" s="70" t="inlineStr">
        <is>
          <t>Lena Schneider</t>
        </is>
      </c>
      <c r="S137" s="70" t="inlineStr"/>
    </row>
    <row r="138" ht="18" customHeight="1">
      <c r="A138" s="114" t="inlineStr">
        <is>
          <t>PO-2025-1137</t>
        </is>
      </c>
      <c r="B138" s="85" t="inlineStr">
        <is>
          <t>EVT-2025-047</t>
        </is>
      </c>
      <c r="C138" s="86" t="inlineStr">
        <is>
          <t>MedAudio AV Solutions</t>
        </is>
      </c>
      <c r="D138" s="86" t="inlineStr">
        <is>
          <t>AV &amp; Technology</t>
        </is>
      </c>
      <c r="E138" s="164" t="n">
        <v>45853</v>
      </c>
      <c r="F138" s="164" t="n">
        <v>45861</v>
      </c>
      <c r="G138" s="90">
        <f>F138-E138</f>
        <v/>
      </c>
      <c r="H138" s="87" t="n">
        <v>5268.66</v>
      </c>
      <c r="I138" s="85" t="inlineStr">
        <is>
          <t>EUR</t>
        </is>
      </c>
      <c r="J138" s="85" t="inlineStr">
        <is>
          <t>CC-7732</t>
        </is>
      </c>
      <c r="K138" s="85" t="inlineStr">
        <is>
          <t>GL-6312</t>
        </is>
      </c>
      <c r="L138" s="88" t="inlineStr">
        <is>
          <t>Sent to Supplier</t>
        </is>
      </c>
      <c r="M138" s="85" t="inlineStr"/>
      <c r="N138" s="96" t="inlineStr">
        <is>
          <t>Cancelled</t>
        </is>
      </c>
      <c r="O138" s="164" t="n">
        <v>45939</v>
      </c>
      <c r="P138" s="90" t="n">
        <v>0</v>
      </c>
      <c r="Q138" s="86" t="inlineStr">
        <is>
          <t>Maria Kowalski</t>
        </is>
      </c>
      <c r="R138" s="86" t="inlineStr">
        <is>
          <t>Carlos Navarro</t>
        </is>
      </c>
      <c r="S138" s="86" t="inlineStr"/>
    </row>
    <row r="139" ht="18" customHeight="1">
      <c r="A139" s="115" t="inlineStr">
        <is>
          <t>PO-2025-1138</t>
        </is>
      </c>
      <c r="B139" s="71" t="inlineStr">
        <is>
          <t>EVT-2025-047</t>
        </is>
      </c>
      <c r="C139" s="70" t="inlineStr">
        <is>
          <t>AVIAWORLD Travel</t>
        </is>
      </c>
      <c r="D139" s="70" t="inlineStr">
        <is>
          <t>Travel &amp; Air</t>
        </is>
      </c>
      <c r="E139" s="157" t="n">
        <v>45862</v>
      </c>
      <c r="F139" s="157" t="n">
        <v>45872</v>
      </c>
      <c r="G139" s="91">
        <f>F139-E139</f>
        <v/>
      </c>
      <c r="H139" s="73" t="n">
        <v>4856.42</v>
      </c>
      <c r="I139" s="71" t="inlineStr">
        <is>
          <t>EUR</t>
        </is>
      </c>
      <c r="J139" s="71" t="inlineStr">
        <is>
          <t>CC-1613</t>
        </is>
      </c>
      <c r="K139" s="71" t="inlineStr">
        <is>
          <t>GL-6311</t>
        </is>
      </c>
      <c r="L139" s="69" t="inlineStr">
        <is>
          <t>Approved</t>
        </is>
      </c>
      <c r="M139" s="71" t="inlineStr">
        <is>
          <t>INV-01138</t>
        </is>
      </c>
      <c r="N139" s="95" t="inlineStr">
        <is>
          <t>Invoiced</t>
        </is>
      </c>
      <c r="O139" s="157" t="n">
        <v>45928</v>
      </c>
      <c r="P139" s="91" t="n">
        <v>0</v>
      </c>
      <c r="Q139" s="70" t="inlineStr">
        <is>
          <t>Emma Johansson</t>
        </is>
      </c>
      <c r="R139" s="70" t="inlineStr">
        <is>
          <t>Sophie Müller</t>
        </is>
      </c>
      <c r="S139" s="70" t="inlineStr"/>
    </row>
    <row r="140" ht="18" customHeight="1">
      <c r="A140" s="114" t="inlineStr">
        <is>
          <t>PO-2025-1139</t>
        </is>
      </c>
      <c r="B140" s="85" t="inlineStr">
        <is>
          <t>EVT-2025-048</t>
        </is>
      </c>
      <c r="C140" s="86" t="inlineStr">
        <is>
          <t>TechEvent Systems</t>
        </is>
      </c>
      <c r="D140" s="86" t="inlineStr">
        <is>
          <t>Registration &amp; Tech</t>
        </is>
      </c>
      <c r="E140" s="164" t="n">
        <v>45630</v>
      </c>
      <c r="F140" s="164" t="n">
        <v>45639</v>
      </c>
      <c r="G140" s="90">
        <f>F140-E140</f>
        <v/>
      </c>
      <c r="H140" s="87" t="n">
        <v>23310.9</v>
      </c>
      <c r="I140" s="85" t="inlineStr">
        <is>
          <t>EUR</t>
        </is>
      </c>
      <c r="J140" s="85" t="inlineStr">
        <is>
          <t>CC-1635</t>
        </is>
      </c>
      <c r="K140" s="85" t="inlineStr">
        <is>
          <t>GL-6315</t>
        </is>
      </c>
      <c r="L140" s="69" t="inlineStr">
        <is>
          <t>Approved</t>
        </is>
      </c>
      <c r="M140" s="85" t="inlineStr">
        <is>
          <t>INV-01139</t>
        </is>
      </c>
      <c r="N140" s="69" t="inlineStr">
        <is>
          <t>Paid</t>
        </is>
      </c>
      <c r="O140" s="164" t="n">
        <v>45699</v>
      </c>
      <c r="P140" s="90" t="n">
        <v>0</v>
      </c>
      <c r="Q140" s="86" t="inlineStr">
        <is>
          <t>Thomas Dubois</t>
        </is>
      </c>
      <c r="R140" s="86" t="inlineStr">
        <is>
          <t>James Wilson</t>
        </is>
      </c>
      <c r="S140" s="86" t="inlineStr"/>
    </row>
    <row r="141" ht="18" customHeight="1">
      <c r="A141" s="115" t="inlineStr">
        <is>
          <t>PO-2025-1140</t>
        </is>
      </c>
      <c r="B141" s="71" t="inlineStr">
        <is>
          <t>EVT-2025-049</t>
        </is>
      </c>
      <c r="C141" s="70" t="inlineStr">
        <is>
          <t>HealthMarketing Group</t>
        </is>
      </c>
      <c r="D141" s="70" t="inlineStr">
        <is>
          <t>Marketing Agency</t>
        </is>
      </c>
      <c r="E141" s="157" t="n">
        <v>45953</v>
      </c>
      <c r="F141" s="157" t="n">
        <v>45963</v>
      </c>
      <c r="G141" s="91">
        <f>F141-E141</f>
        <v/>
      </c>
      <c r="H141" s="73" t="n">
        <v>40806.82</v>
      </c>
      <c r="I141" s="71" t="inlineStr">
        <is>
          <t>EUR</t>
        </is>
      </c>
      <c r="J141" s="71" t="inlineStr">
        <is>
          <t>CC-5400</t>
        </is>
      </c>
      <c r="K141" s="71" t="inlineStr">
        <is>
          <t>GL-6312</t>
        </is>
      </c>
      <c r="L141" s="96" t="inlineStr">
        <is>
          <t>Draft</t>
        </is>
      </c>
      <c r="M141" s="71" t="inlineStr">
        <is>
          <t>INV-01140</t>
        </is>
      </c>
      <c r="N141" s="96" t="inlineStr">
        <is>
          <t>Pending</t>
        </is>
      </c>
      <c r="O141" s="157" t="n">
        <v>45986</v>
      </c>
      <c r="P141" s="91" t="n">
        <v>0</v>
      </c>
      <c r="Q141" s="70" t="inlineStr">
        <is>
          <t>Lucas Dupont</t>
        </is>
      </c>
      <c r="R141" s="70" t="inlineStr">
        <is>
          <t>Isabel Ferreira</t>
        </is>
      </c>
      <c r="S141" s="70" t="inlineStr"/>
    </row>
    <row r="142" ht="18" customHeight="1">
      <c r="A142" s="114" t="inlineStr">
        <is>
          <t>PO-2025-1141</t>
        </is>
      </c>
      <c r="B142" s="85" t="inlineStr">
        <is>
          <t>EVT-2025-049</t>
        </is>
      </c>
      <c r="C142" s="86" t="inlineStr">
        <is>
          <t>MedComm Agency</t>
        </is>
      </c>
      <c r="D142" s="86" t="inlineStr">
        <is>
          <t>Medical Communication</t>
        </is>
      </c>
      <c r="E142" s="164" t="n">
        <v>45948</v>
      </c>
      <c r="F142" s="164" t="n">
        <v>45955</v>
      </c>
      <c r="G142" s="90">
        <f>F142-E142</f>
        <v/>
      </c>
      <c r="H142" s="87" t="n">
        <v>35587.36</v>
      </c>
      <c r="I142" s="85" t="inlineStr">
        <is>
          <t>EUR</t>
        </is>
      </c>
      <c r="J142" s="85" t="inlineStr">
        <is>
          <t>CC-9054</t>
        </is>
      </c>
      <c r="K142" s="85" t="inlineStr">
        <is>
          <t>GL-6330</t>
        </is>
      </c>
      <c r="L142" s="93" t="inlineStr">
        <is>
          <t>Cancelled</t>
        </is>
      </c>
      <c r="M142" s="85" t="inlineStr">
        <is>
          <t>INV-01141</t>
        </is>
      </c>
      <c r="N142" s="95" t="inlineStr">
        <is>
          <t>Invoiced</t>
        </is>
      </c>
      <c r="O142" s="164" t="n">
        <v>45997</v>
      </c>
      <c r="P142" s="90" t="n">
        <v>0</v>
      </c>
      <c r="Q142" s="86" t="inlineStr">
        <is>
          <t>Maria Kowalski</t>
        </is>
      </c>
      <c r="R142" s="86" t="inlineStr">
        <is>
          <t>Marco Bianchi</t>
        </is>
      </c>
      <c r="S142" s="86" t="inlineStr"/>
    </row>
    <row r="143" ht="18" customHeight="1">
      <c r="A143" s="115" t="inlineStr">
        <is>
          <t>PO-2025-1142</t>
        </is>
      </c>
      <c r="B143" s="71" t="inlineStr">
        <is>
          <t>EVT-2025-049</t>
        </is>
      </c>
      <c r="C143" s="70" t="inlineStr">
        <is>
          <t>PharmaLogix</t>
        </is>
      </c>
      <c r="D143" s="70" t="inlineStr">
        <is>
          <t>Logistics &amp; Transport</t>
        </is>
      </c>
      <c r="E143" s="157" t="n">
        <v>45908</v>
      </c>
      <c r="F143" s="157" t="n">
        <v>45914</v>
      </c>
      <c r="G143" s="91">
        <f>F143-E143</f>
        <v/>
      </c>
      <c r="H143" s="73" t="n">
        <v>53551.7</v>
      </c>
      <c r="I143" s="71" t="inlineStr">
        <is>
          <t>EUR</t>
        </is>
      </c>
      <c r="J143" s="71" t="inlineStr">
        <is>
          <t>CC-3201</t>
        </is>
      </c>
      <c r="K143" s="71" t="inlineStr">
        <is>
          <t>GL-6312</t>
        </is>
      </c>
      <c r="L143" s="93" t="inlineStr">
        <is>
          <t>Cancelled</t>
        </is>
      </c>
      <c r="M143" s="71" t="inlineStr"/>
      <c r="N143" s="76" t="inlineStr">
        <is>
          <t>Disputed</t>
        </is>
      </c>
      <c r="O143" s="157" t="n">
        <v>45993</v>
      </c>
      <c r="P143" s="91" t="n">
        <v>0</v>
      </c>
      <c r="Q143" s="70" t="inlineStr">
        <is>
          <t>Carlos Navarro</t>
        </is>
      </c>
      <c r="R143" s="70" t="inlineStr">
        <is>
          <t>Lucas Dupont</t>
        </is>
      </c>
      <c r="S143" s="70" t="inlineStr"/>
    </row>
    <row r="144" ht="18" customHeight="1">
      <c r="A144" s="114" t="inlineStr">
        <is>
          <t>PO-2025-1143</t>
        </is>
      </c>
      <c r="B144" s="85" t="inlineStr">
        <is>
          <t>EVT-2025-049</t>
        </is>
      </c>
      <c r="C144" s="86" t="inlineStr">
        <is>
          <t>MedAudio AV Solutions</t>
        </is>
      </c>
      <c r="D144" s="86" t="inlineStr">
        <is>
          <t>AV &amp; Technology</t>
        </is>
      </c>
      <c r="E144" s="164" t="n">
        <v>45941</v>
      </c>
      <c r="F144" s="164" t="n">
        <v>45950</v>
      </c>
      <c r="G144" s="90">
        <f>F144-E144</f>
        <v/>
      </c>
      <c r="H144" s="87" t="n">
        <v>36624.85</v>
      </c>
      <c r="I144" s="85" t="inlineStr">
        <is>
          <t>EUR</t>
        </is>
      </c>
      <c r="J144" s="85" t="inlineStr">
        <is>
          <t>CC-2462</t>
        </is>
      </c>
      <c r="K144" s="85" t="inlineStr">
        <is>
          <t>GL-6311</t>
        </is>
      </c>
      <c r="L144" s="88" t="inlineStr">
        <is>
          <t>Sent to Supplier</t>
        </is>
      </c>
      <c r="M144" s="85" t="inlineStr"/>
      <c r="N144" s="96" t="inlineStr">
        <is>
          <t>Cancelled</t>
        </is>
      </c>
      <c r="O144" s="164" t="n">
        <v>45988</v>
      </c>
      <c r="P144" s="90" t="n">
        <v>0</v>
      </c>
      <c r="Q144" s="86" t="inlineStr">
        <is>
          <t>James Wilson</t>
        </is>
      </c>
      <c r="R144" s="86" t="inlineStr">
        <is>
          <t>Emma Johansson</t>
        </is>
      </c>
      <c r="S144" s="86" t="inlineStr"/>
    </row>
    <row r="145" ht="18" customHeight="1">
      <c r="A145" s="115" t="inlineStr">
        <is>
          <t>PO-2025-1144</t>
        </is>
      </c>
      <c r="B145" s="71" t="inlineStr">
        <is>
          <t>EVT-2025-050</t>
        </is>
      </c>
      <c r="C145" s="70" t="inlineStr">
        <is>
          <t>MedComm Agency</t>
        </is>
      </c>
      <c r="D145" s="70" t="inlineStr">
        <is>
          <t>Medical Communication</t>
        </is>
      </c>
      <c r="E145" s="157" t="n">
        <v>45711</v>
      </c>
      <c r="F145" s="157" t="n">
        <v>45721</v>
      </c>
      <c r="G145" s="91">
        <f>F145-E145</f>
        <v/>
      </c>
      <c r="H145" s="73" t="n">
        <v>33684.4</v>
      </c>
      <c r="I145" s="71" t="inlineStr">
        <is>
          <t>EUR</t>
        </is>
      </c>
      <c r="J145" s="71" t="inlineStr">
        <is>
          <t>CC-9462</t>
        </is>
      </c>
      <c r="K145" s="71" t="inlineStr">
        <is>
          <t>GL-6330</t>
        </is>
      </c>
      <c r="L145" s="69" t="inlineStr">
        <is>
          <t>Approved</t>
        </is>
      </c>
      <c r="M145" s="71" t="inlineStr">
        <is>
          <t>INV-01144</t>
        </is>
      </c>
      <c r="N145" s="76" t="inlineStr">
        <is>
          <t>Disputed</t>
        </is>
      </c>
      <c r="O145" s="157" t="n">
        <v>45788</v>
      </c>
      <c r="P145" s="91" t="n">
        <v>0</v>
      </c>
      <c r="Q145" s="70" t="inlineStr">
        <is>
          <t>Ana García</t>
        </is>
      </c>
      <c r="R145" s="70" t="inlineStr">
        <is>
          <t>Lena Schneider</t>
        </is>
      </c>
      <c r="S145" s="70" t="inlineStr"/>
    </row>
    <row r="146" ht="18" customHeight="1">
      <c r="A146" s="114" t="inlineStr">
        <is>
          <t>PO-2025-1145</t>
        </is>
      </c>
      <c r="B146" s="85" t="inlineStr">
        <is>
          <t>EVT-2025-050</t>
        </is>
      </c>
      <c r="C146" s="86" t="inlineStr">
        <is>
          <t>Catering Excellence</t>
        </is>
      </c>
      <c r="D146" s="86" t="inlineStr">
        <is>
          <t>F&amp;B / Catering</t>
        </is>
      </c>
      <c r="E146" s="164" t="n">
        <v>45705</v>
      </c>
      <c r="F146" s="164" t="n">
        <v>45710</v>
      </c>
      <c r="G146" s="90">
        <f>F146-E146</f>
        <v/>
      </c>
      <c r="H146" s="87" t="n">
        <v>13136.8</v>
      </c>
      <c r="I146" s="85" t="inlineStr">
        <is>
          <t>EUR</t>
        </is>
      </c>
      <c r="J146" s="85" t="inlineStr">
        <is>
          <t>CC-2075</t>
        </is>
      </c>
      <c r="K146" s="85" t="inlineStr">
        <is>
          <t>GL-6312</t>
        </is>
      </c>
      <c r="L146" s="93" t="inlineStr">
        <is>
          <t>Cancelled</t>
        </is>
      </c>
      <c r="M146" s="85" t="inlineStr">
        <is>
          <t>INV-01145</t>
        </is>
      </c>
      <c r="N146" s="69" t="inlineStr">
        <is>
          <t>Paid</t>
        </is>
      </c>
      <c r="O146" s="164" t="n">
        <v>45785</v>
      </c>
      <c r="P146" s="90" t="n">
        <v>0</v>
      </c>
      <c r="Q146" s="86" t="inlineStr">
        <is>
          <t>Lena Schneider</t>
        </is>
      </c>
      <c r="R146" s="86" t="inlineStr">
        <is>
          <t>Emma Johansson</t>
        </is>
      </c>
      <c r="S146" s="86" t="inlineStr"/>
    </row>
    <row r="147" ht="18" customHeight="1">
      <c r="A147" s="115" t="inlineStr">
        <is>
          <t>PO-2025-1146</t>
        </is>
      </c>
      <c r="B147" s="71" t="inlineStr">
        <is>
          <t>EVT-2025-050</t>
        </is>
      </c>
      <c r="C147" s="70" t="inlineStr">
        <is>
          <t>Compliance Expert Ltd</t>
        </is>
      </c>
      <c r="D147" s="70" t="inlineStr">
        <is>
          <t>Compliance &amp; Legal</t>
        </is>
      </c>
      <c r="E147" s="157" t="n">
        <v>45746</v>
      </c>
      <c r="F147" s="157" t="n">
        <v>45749</v>
      </c>
      <c r="G147" s="91">
        <f>F147-E147</f>
        <v/>
      </c>
      <c r="H147" s="73" t="n">
        <v>20407.64</v>
      </c>
      <c r="I147" s="71" t="inlineStr">
        <is>
          <t>EUR</t>
        </is>
      </c>
      <c r="J147" s="71" t="inlineStr">
        <is>
          <t>CC-3846</t>
        </is>
      </c>
      <c r="K147" s="71" t="inlineStr">
        <is>
          <t>GL-6311</t>
        </is>
      </c>
      <c r="L147" s="76" t="inlineStr">
        <is>
          <t>Pending Approval</t>
        </is>
      </c>
      <c r="M147" s="71" t="inlineStr"/>
      <c r="N147" s="69" t="inlineStr">
        <is>
          <t>Paid</t>
        </is>
      </c>
      <c r="O147" s="157" t="n">
        <v>45784</v>
      </c>
      <c r="P147" s="91" t="n">
        <v>0</v>
      </c>
      <c r="Q147" s="70" t="inlineStr">
        <is>
          <t>Ana García</t>
        </is>
      </c>
      <c r="R147" s="70" t="inlineStr">
        <is>
          <t>James Wilson</t>
        </is>
      </c>
      <c r="S147" s="70" t="inlineStr"/>
    </row>
    <row r="148" ht="18" customHeight="1">
      <c r="A148" s="114" t="inlineStr">
        <is>
          <t>PO-2025-1147</t>
        </is>
      </c>
      <c r="B148" s="85" t="inlineStr">
        <is>
          <t>EVT-2025-050</t>
        </is>
      </c>
      <c r="C148" s="86" t="inlineStr">
        <is>
          <t>AVIAWORLD Travel</t>
        </is>
      </c>
      <c r="D148" s="86" t="inlineStr">
        <is>
          <t>Travel &amp; Air</t>
        </is>
      </c>
      <c r="E148" s="164" t="n">
        <v>45758</v>
      </c>
      <c r="F148" s="164" t="n">
        <v>45768</v>
      </c>
      <c r="G148" s="90">
        <f>F148-E148</f>
        <v/>
      </c>
      <c r="H148" s="87" t="n">
        <v>13968.18</v>
      </c>
      <c r="I148" s="85" t="inlineStr">
        <is>
          <t>EUR</t>
        </is>
      </c>
      <c r="J148" s="85" t="inlineStr">
        <is>
          <t>CC-1828</t>
        </is>
      </c>
      <c r="K148" s="85" t="inlineStr">
        <is>
          <t>GL-6312</t>
        </is>
      </c>
      <c r="L148" s="93" t="inlineStr">
        <is>
          <t>Cancelled</t>
        </is>
      </c>
      <c r="M148" s="85" t="inlineStr"/>
      <c r="N148" s="95" t="inlineStr">
        <is>
          <t>Invoiced</t>
        </is>
      </c>
      <c r="O148" s="164" t="n">
        <v>45790</v>
      </c>
      <c r="P148" s="90" t="n">
        <v>0</v>
      </c>
      <c r="Q148" s="86" t="inlineStr">
        <is>
          <t>James Wilson</t>
        </is>
      </c>
      <c r="R148" s="86" t="inlineStr">
        <is>
          <t>Isabel Ferreira</t>
        </is>
      </c>
      <c r="S148" s="86" t="inlineStr"/>
    </row>
    <row r="149" ht="18" customHeight="1">
      <c r="A149" s="115" t="inlineStr">
        <is>
          <t>PO-2025-1148</t>
        </is>
      </c>
      <c r="B149" s="71" t="inlineStr">
        <is>
          <t>EVT-2025-050</t>
        </is>
      </c>
      <c r="C149" s="70" t="inlineStr">
        <is>
          <t>InterCongress PCO</t>
        </is>
      </c>
      <c r="D149" s="70" t="inlineStr">
        <is>
          <t>PCO / Event Agency</t>
        </is>
      </c>
      <c r="E149" s="157" t="n">
        <v>45735</v>
      </c>
      <c r="F149" s="157" t="n">
        <v>45745</v>
      </c>
      <c r="G149" s="91">
        <f>F149-E149</f>
        <v/>
      </c>
      <c r="H149" s="73" t="n">
        <v>46765.9</v>
      </c>
      <c r="I149" s="71" t="inlineStr">
        <is>
          <t>EUR</t>
        </is>
      </c>
      <c r="J149" s="71" t="inlineStr">
        <is>
          <t>CC-9275</t>
        </is>
      </c>
      <c r="K149" s="71" t="inlineStr">
        <is>
          <t>GL-6315</t>
        </is>
      </c>
      <c r="L149" s="93" t="inlineStr">
        <is>
          <t>Cancelled</t>
        </is>
      </c>
      <c r="M149" s="71" t="inlineStr">
        <is>
          <t>INV-01148</t>
        </is>
      </c>
      <c r="N149" s="95" t="inlineStr">
        <is>
          <t>Invoiced</t>
        </is>
      </c>
      <c r="O149" s="157" t="n">
        <v>45788</v>
      </c>
      <c r="P149" s="91" t="n">
        <v>0</v>
      </c>
      <c r="Q149" s="70" t="inlineStr">
        <is>
          <t>Marco Bianchi</t>
        </is>
      </c>
      <c r="R149" s="70" t="inlineStr">
        <is>
          <t>Maria Kowalski</t>
        </is>
      </c>
      <c r="S149" s="70" t="inlineStr"/>
    </row>
    <row r="151" ht="24" customHeight="1">
      <c r="A151" s="175" t="inlineStr">
        <is>
          <t>TOTAL PO VALUE</t>
        </is>
      </c>
      <c r="B151" s="181" t="n"/>
      <c r="C151" s="181" t="n"/>
      <c r="D151" s="181" t="n"/>
      <c r="E151" s="181" t="n"/>
      <c r="F151" s="181" t="n"/>
      <c r="G151" s="181" t="n"/>
      <c r="H151" s="180">
        <f>SUM(H2:H149)</f>
        <v/>
      </c>
      <c r="I151" s="177" t="n"/>
      <c r="J151" s="177" t="n"/>
      <c r="K151" s="177" t="n"/>
      <c r="L151" s="177" t="n"/>
      <c r="M151" s="177" t="n"/>
      <c r="N151" s="177" t="n"/>
      <c r="O151" s="177" t="n"/>
      <c r="P151" s="177" t="n"/>
      <c r="Q151" s="177" t="n"/>
      <c r="R151" s="177" t="n"/>
      <c r="S151" s="177" t="n"/>
    </row>
  </sheetData>
  <autoFilter ref="A1:S149"/>
  <mergeCells count="1">
    <mergeCell ref="A151:G151"/>
  </mergeCells>
  <conditionalFormatting sqref="A2:S149">
    <cfRule type="expression" priority="1" dxfId="1">
      <formula>$N2="Overdue"</formula>
    </cfRule>
  </conditionalFormatting>
  <conditionalFormatting sqref="P2:P149">
    <cfRule type="cellIs" priority="2" operator="greaterThan" dxfId="6">
      <formula>0</formula>
    </cfRule>
  </conditionalFormatting>
  <dataValidations count="2">
    <dataValidation sqref="L2:L149" showDropDown="0" showInputMessage="0" showErrorMessage="0" allowBlank="0" type="list">
      <formula1>"Draft,Pending Approval,Approved,Sent to Supplier,Closed,Cancelled"</formula1>
    </dataValidation>
    <dataValidation sqref="N2:N149" showDropDown="0" showInputMessage="0" showErrorMessage="0" allowBlank="0" type="list">
      <formula1>"Pending,Approved,Invoiced,Paid,Overdue,Disputed,Cancelled"</formula1>
    </dataValidation>
  </dataValidations>
  <printOptions gridLines="0"/>
  <pageMargins left="0.4" right="0.4" top="0.6" bottom="0.6" header="0.3" footer="0.3"/>
  <pageSetup orientation="landscape" fitToHeight="0" fitToWidth="1"/>
  <headerFooter>
    <oddHeader/>
    <oddFooter>&amp;LConfidential – Internal Use Only&amp;C&amp;A&amp;RPage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M36"/>
  <sheetViews>
    <sheetView showGridLines="0" tabSelected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8" customWidth="1" min="9" max="9"/>
    <col width="14" customWidth="1" min="10" max="10"/>
  </cols>
  <sheetData>
    <row r="1" ht="36" customHeight="1">
      <c r="A1" s="118" t="inlineStr">
        <is>
          <t>PHARMACEUTICAL EVENTS – EXECUTIVE FINANCIAL REPORTING  |  FY 2025</t>
        </is>
      </c>
    </row>
    <row r="2" ht="18" customHeight="1">
      <c r="A2" s="2" t="inlineStr">
        <is>
          <t>Report Date: 24 June 2026  |  Confidential  |  Finance &amp; PMO</t>
        </is>
      </c>
    </row>
    <row r="4" ht="22" customHeight="1">
      <c r="A4" s="3" t="inlineStr">
        <is>
          <t>1. MONTHLY FINANCIAL SUMMARY</t>
        </is>
      </c>
    </row>
    <row r="5" ht="22" customHeight="1">
      <c r="A5" s="17" t="inlineStr">
        <is>
          <t>Month</t>
        </is>
      </c>
      <c r="B5" s="17" t="inlineStr">
        <is>
          <t># Events</t>
        </is>
      </c>
      <c r="C5" s="17" t="inlineStr">
        <is>
          <t>Budget (€)</t>
        </is>
      </c>
      <c r="D5" s="17" t="inlineStr">
        <is>
          <t>Committed (€)</t>
        </is>
      </c>
      <c r="E5" s="17" t="inlineStr">
        <is>
          <t>Actual (€)</t>
        </is>
      </c>
      <c r="F5" s="17" t="inlineStr">
        <is>
          <t>Forecast (€)</t>
        </is>
      </c>
      <c r="G5" s="17" t="inlineStr">
        <is>
          <t>Variance (€)</t>
        </is>
      </c>
      <c r="H5" s="17" t="inlineStr">
        <is>
          <t>Var %</t>
        </is>
      </c>
      <c r="I5" s="17" t="inlineStr">
        <is>
          <t>Budget Absorption %</t>
        </is>
      </c>
      <c r="J5" s="17" t="inlineStr">
        <is>
          <t>Status</t>
        </is>
      </c>
    </row>
    <row r="6" ht="18" customHeight="1">
      <c r="A6" s="23" t="inlineStr">
        <is>
          <t>Jan</t>
        </is>
      </c>
      <c r="B6" s="146">
        <f>SUMPRODUCT((MONTH('Budget Planning'!$H$2:$H$51)=1)*(YEAR('Budget Planning'!$H$2:$H$51)=2025)*1)</f>
        <v/>
      </c>
      <c r="C6" s="24">
        <f>SUMPRODUCT((MONTH('Budget Planning'!$H$2:$H$51)=1)*(YEAR('Budget Planning'!$H$2:$H$51)=2025)*'Budget Planning'!$J$2:$J$51)</f>
        <v/>
      </c>
      <c r="D6" s="24">
        <f>SUMPRODUCT((MONTH('Budget Planning'!$H$2:$H$51)=1)*(YEAR('Budget Planning'!$H$2:$H$51)=2025)*'Budget Planning'!$N$2:$N$51)</f>
        <v/>
      </c>
      <c r="E6" s="24">
        <f>SUMPRODUCT((MONTH('Budget Planning'!$H$2:$H$51)=1)*(YEAR('Budget Planning'!$H$2:$H$51)=2025)*'Budget Planning'!$O$2:$O$51)</f>
        <v/>
      </c>
      <c r="F6" s="24">
        <f>SUMPRODUCT((MONTH('Budget Planning'!$H$2:$H$51)=1)*(YEAR('Budget Planning'!$H$2:$H$51)=2025)*'Budget Planning'!$M$2:$M$51)</f>
        <v/>
      </c>
      <c r="G6" s="144">
        <f>C6-F6</f>
        <v/>
      </c>
      <c r="H6" s="169">
        <f>IF(C6=0,0,G6/C6)</f>
        <v/>
      </c>
      <c r="I6" s="38">
        <f>IF(C6=0,0,D6/C6)</f>
        <v/>
      </c>
      <c r="J6" s="60">
        <f>IF(H6&lt;-0.05,"At Risk","On Track")</f>
        <v/>
      </c>
    </row>
    <row r="7" ht="18" customHeight="1">
      <c r="A7" s="18" t="inlineStr">
        <is>
          <t>Feb</t>
        </is>
      </c>
      <c r="B7" s="143">
        <f>SUMPRODUCT((MONTH('Budget Planning'!$H$2:$H$51)=2)*(YEAR('Budget Planning'!$H$2:$H$51)=2025)*1)</f>
        <v/>
      </c>
      <c r="C7" s="19">
        <f>SUMPRODUCT((MONTH('Budget Planning'!$H$2:$H$51)=2)*(YEAR('Budget Planning'!$H$2:$H$51)=2025)*'Budget Planning'!$J$2:$J$51)</f>
        <v/>
      </c>
      <c r="D7" s="19">
        <f>SUMPRODUCT((MONTH('Budget Planning'!$H$2:$H$51)=2)*(YEAR('Budget Planning'!$H$2:$H$51)=2025)*'Budget Planning'!$N$2:$N$51)</f>
        <v/>
      </c>
      <c r="E7" s="19">
        <f>SUMPRODUCT((MONTH('Budget Planning'!$H$2:$H$51)=2)*(YEAR('Budget Planning'!$H$2:$H$51)=2025)*'Budget Planning'!$O$2:$O$51)</f>
        <v/>
      </c>
      <c r="F7" s="19">
        <f>SUMPRODUCT((MONTH('Budget Planning'!$H$2:$H$51)=2)*(YEAR('Budget Planning'!$H$2:$H$51)=2025)*'Budget Planning'!$M$2:$M$51)</f>
        <v/>
      </c>
      <c r="G7" s="141">
        <f>C7-F7</f>
        <v/>
      </c>
      <c r="H7" s="170">
        <f>IF(C7=0,0,G7/C7)</f>
        <v/>
      </c>
      <c r="I7" s="34">
        <f>IF(C7=0,0,D7/C7)</f>
        <v/>
      </c>
      <c r="J7" s="55">
        <f>IF(H7&lt;-0.05,"At Risk","On Track")</f>
        <v/>
      </c>
    </row>
    <row r="8" ht="18" customHeight="1">
      <c r="A8" s="23" t="inlineStr">
        <is>
          <t>Mar</t>
        </is>
      </c>
      <c r="B8" s="146">
        <f>SUMPRODUCT((MONTH('Budget Planning'!$H$2:$H$51)=3)*(YEAR('Budget Planning'!$H$2:$H$51)=2025)*1)</f>
        <v/>
      </c>
      <c r="C8" s="24">
        <f>SUMPRODUCT((MONTH('Budget Planning'!$H$2:$H$51)=3)*(YEAR('Budget Planning'!$H$2:$H$51)=2025)*'Budget Planning'!$J$2:$J$51)</f>
        <v/>
      </c>
      <c r="D8" s="24">
        <f>SUMPRODUCT((MONTH('Budget Planning'!$H$2:$H$51)=3)*(YEAR('Budget Planning'!$H$2:$H$51)=2025)*'Budget Planning'!$N$2:$N$51)</f>
        <v/>
      </c>
      <c r="E8" s="24">
        <f>SUMPRODUCT((MONTH('Budget Planning'!$H$2:$H$51)=3)*(YEAR('Budget Planning'!$H$2:$H$51)=2025)*'Budget Planning'!$O$2:$O$51)</f>
        <v/>
      </c>
      <c r="F8" s="24">
        <f>SUMPRODUCT((MONTH('Budget Planning'!$H$2:$H$51)=3)*(YEAR('Budget Planning'!$H$2:$H$51)=2025)*'Budget Planning'!$M$2:$M$51)</f>
        <v/>
      </c>
      <c r="G8" s="144">
        <f>C8-F8</f>
        <v/>
      </c>
      <c r="H8" s="169">
        <f>IF(C8=0,0,G8/C8)</f>
        <v/>
      </c>
      <c r="I8" s="38">
        <f>IF(C8=0,0,D8/C8)</f>
        <v/>
      </c>
      <c r="J8" s="60">
        <f>IF(H8&lt;-0.05,"At Risk","On Track")</f>
        <v/>
      </c>
    </row>
    <row r="9" ht="18" customHeight="1">
      <c r="A9" s="18" t="inlineStr">
        <is>
          <t>Apr</t>
        </is>
      </c>
      <c r="B9" s="143">
        <f>SUMPRODUCT((MONTH('Budget Planning'!$H$2:$H$51)=4)*(YEAR('Budget Planning'!$H$2:$H$51)=2025)*1)</f>
        <v/>
      </c>
      <c r="C9" s="19">
        <f>SUMPRODUCT((MONTH('Budget Planning'!$H$2:$H$51)=4)*(YEAR('Budget Planning'!$H$2:$H$51)=2025)*'Budget Planning'!$J$2:$J$51)</f>
        <v/>
      </c>
      <c r="D9" s="19">
        <f>SUMPRODUCT((MONTH('Budget Planning'!$H$2:$H$51)=4)*(YEAR('Budget Planning'!$H$2:$H$51)=2025)*'Budget Planning'!$N$2:$N$51)</f>
        <v/>
      </c>
      <c r="E9" s="19">
        <f>SUMPRODUCT((MONTH('Budget Planning'!$H$2:$H$51)=4)*(YEAR('Budget Planning'!$H$2:$H$51)=2025)*'Budget Planning'!$O$2:$O$51)</f>
        <v/>
      </c>
      <c r="F9" s="19">
        <f>SUMPRODUCT((MONTH('Budget Planning'!$H$2:$H$51)=4)*(YEAR('Budget Planning'!$H$2:$H$51)=2025)*'Budget Planning'!$M$2:$M$51)</f>
        <v/>
      </c>
      <c r="G9" s="141">
        <f>C9-F9</f>
        <v/>
      </c>
      <c r="H9" s="170">
        <f>IF(C9=0,0,G9/C9)</f>
        <v/>
      </c>
      <c r="I9" s="34">
        <f>IF(C9=0,0,D9/C9)</f>
        <v/>
      </c>
      <c r="J9" s="55">
        <f>IF(H9&lt;-0.05,"At Risk","On Track")</f>
        <v/>
      </c>
    </row>
    <row r="10" ht="18" customHeight="1">
      <c r="A10" s="23" t="inlineStr">
        <is>
          <t>May</t>
        </is>
      </c>
      <c r="B10" s="146">
        <f>SUMPRODUCT((MONTH('Budget Planning'!$H$2:$H$51)=5)*(YEAR('Budget Planning'!$H$2:$H$51)=2025)*1)</f>
        <v/>
      </c>
      <c r="C10" s="24">
        <f>SUMPRODUCT((MONTH('Budget Planning'!$H$2:$H$51)=5)*(YEAR('Budget Planning'!$H$2:$H$51)=2025)*'Budget Planning'!$J$2:$J$51)</f>
        <v/>
      </c>
      <c r="D10" s="24">
        <f>SUMPRODUCT((MONTH('Budget Planning'!$H$2:$H$51)=5)*(YEAR('Budget Planning'!$H$2:$H$51)=2025)*'Budget Planning'!$N$2:$N$51)</f>
        <v/>
      </c>
      <c r="E10" s="24">
        <f>SUMPRODUCT((MONTH('Budget Planning'!$H$2:$H$51)=5)*(YEAR('Budget Planning'!$H$2:$H$51)=2025)*'Budget Planning'!$O$2:$O$51)</f>
        <v/>
      </c>
      <c r="F10" s="24">
        <f>SUMPRODUCT((MONTH('Budget Planning'!$H$2:$H$51)=5)*(YEAR('Budget Planning'!$H$2:$H$51)=2025)*'Budget Planning'!$M$2:$M$51)</f>
        <v/>
      </c>
      <c r="G10" s="144">
        <f>C10-F10</f>
        <v/>
      </c>
      <c r="H10" s="169">
        <f>IF(C10=0,0,G10/C10)</f>
        <v/>
      </c>
      <c r="I10" s="38">
        <f>IF(C10=0,0,D10/C10)</f>
        <v/>
      </c>
      <c r="J10" s="60">
        <f>IF(H10&lt;-0.05,"At Risk","On Track")</f>
        <v/>
      </c>
    </row>
    <row r="11" ht="18" customHeight="1">
      <c r="A11" s="18" t="inlineStr">
        <is>
          <t>Jun</t>
        </is>
      </c>
      <c r="B11" s="143">
        <f>SUMPRODUCT((MONTH('Budget Planning'!$H$2:$H$51)=6)*(YEAR('Budget Planning'!$H$2:$H$51)=2025)*1)</f>
        <v/>
      </c>
      <c r="C11" s="19">
        <f>SUMPRODUCT((MONTH('Budget Planning'!$H$2:$H$51)=6)*(YEAR('Budget Planning'!$H$2:$H$51)=2025)*'Budget Planning'!$J$2:$J$51)</f>
        <v/>
      </c>
      <c r="D11" s="19">
        <f>SUMPRODUCT((MONTH('Budget Planning'!$H$2:$H$51)=6)*(YEAR('Budget Planning'!$H$2:$H$51)=2025)*'Budget Planning'!$N$2:$N$51)</f>
        <v/>
      </c>
      <c r="E11" s="19">
        <f>SUMPRODUCT((MONTH('Budget Planning'!$H$2:$H$51)=6)*(YEAR('Budget Planning'!$H$2:$H$51)=2025)*'Budget Planning'!$O$2:$O$51)</f>
        <v/>
      </c>
      <c r="F11" s="19">
        <f>SUMPRODUCT((MONTH('Budget Planning'!$H$2:$H$51)=6)*(YEAR('Budget Planning'!$H$2:$H$51)=2025)*'Budget Planning'!$M$2:$M$51)</f>
        <v/>
      </c>
      <c r="G11" s="141">
        <f>C11-F11</f>
        <v/>
      </c>
      <c r="H11" s="170">
        <f>IF(C11=0,0,G11/C11)</f>
        <v/>
      </c>
      <c r="I11" s="34">
        <f>IF(C11=0,0,D11/C11)</f>
        <v/>
      </c>
      <c r="J11" s="55">
        <f>IF(H11&lt;-0.05,"At Risk","On Track")</f>
        <v/>
      </c>
    </row>
    <row r="12" ht="18" customHeight="1">
      <c r="A12" s="23" t="inlineStr">
        <is>
          <t>Jul</t>
        </is>
      </c>
      <c r="B12" s="146">
        <f>SUMPRODUCT((MONTH('Budget Planning'!$H$2:$H$51)=7)*(YEAR('Budget Planning'!$H$2:$H$51)=2025)*1)</f>
        <v/>
      </c>
      <c r="C12" s="24">
        <f>SUMPRODUCT((MONTH('Budget Planning'!$H$2:$H$51)=7)*(YEAR('Budget Planning'!$H$2:$H$51)=2025)*'Budget Planning'!$J$2:$J$51)</f>
        <v/>
      </c>
      <c r="D12" s="24">
        <f>SUMPRODUCT((MONTH('Budget Planning'!$H$2:$H$51)=7)*(YEAR('Budget Planning'!$H$2:$H$51)=2025)*'Budget Planning'!$N$2:$N$51)</f>
        <v/>
      </c>
      <c r="E12" s="24">
        <f>SUMPRODUCT((MONTH('Budget Planning'!$H$2:$H$51)=7)*(YEAR('Budget Planning'!$H$2:$H$51)=2025)*'Budget Planning'!$O$2:$O$51)</f>
        <v/>
      </c>
      <c r="F12" s="24">
        <f>SUMPRODUCT((MONTH('Budget Planning'!$H$2:$H$51)=7)*(YEAR('Budget Planning'!$H$2:$H$51)=2025)*'Budget Planning'!$M$2:$M$51)</f>
        <v/>
      </c>
      <c r="G12" s="144">
        <f>C12-F12</f>
        <v/>
      </c>
      <c r="H12" s="169">
        <f>IF(C12=0,0,G12/C12)</f>
        <v/>
      </c>
      <c r="I12" s="38">
        <f>IF(C12=0,0,D12/C12)</f>
        <v/>
      </c>
      <c r="J12" s="60">
        <f>IF(H12&lt;-0.05,"At Risk","On Track")</f>
        <v/>
      </c>
    </row>
    <row r="13" ht="18" customHeight="1">
      <c r="A13" s="18" t="inlineStr">
        <is>
          <t>Aug</t>
        </is>
      </c>
      <c r="B13" s="143">
        <f>SUMPRODUCT((MONTH('Budget Planning'!$H$2:$H$51)=8)*(YEAR('Budget Planning'!$H$2:$H$51)=2025)*1)</f>
        <v/>
      </c>
      <c r="C13" s="19">
        <f>SUMPRODUCT((MONTH('Budget Planning'!$H$2:$H$51)=8)*(YEAR('Budget Planning'!$H$2:$H$51)=2025)*'Budget Planning'!$J$2:$J$51)</f>
        <v/>
      </c>
      <c r="D13" s="19">
        <f>SUMPRODUCT((MONTH('Budget Planning'!$H$2:$H$51)=8)*(YEAR('Budget Planning'!$H$2:$H$51)=2025)*'Budget Planning'!$N$2:$N$51)</f>
        <v/>
      </c>
      <c r="E13" s="19">
        <f>SUMPRODUCT((MONTH('Budget Planning'!$H$2:$H$51)=8)*(YEAR('Budget Planning'!$H$2:$H$51)=2025)*'Budget Planning'!$O$2:$O$51)</f>
        <v/>
      </c>
      <c r="F13" s="19">
        <f>SUMPRODUCT((MONTH('Budget Planning'!$H$2:$H$51)=8)*(YEAR('Budget Planning'!$H$2:$H$51)=2025)*'Budget Planning'!$M$2:$M$51)</f>
        <v/>
      </c>
      <c r="G13" s="141">
        <f>C13-F13</f>
        <v/>
      </c>
      <c r="H13" s="171">
        <f>IF(C13=0,0,G13/C13)</f>
        <v/>
      </c>
      <c r="I13" s="34">
        <f>IF(C13=0,0,D13/C13)</f>
        <v/>
      </c>
      <c r="J13" s="60">
        <f>IF(H13&lt;-0.05,"At Risk","On Track")</f>
        <v/>
      </c>
    </row>
    <row r="14" ht="18" customHeight="1">
      <c r="A14" s="23" t="inlineStr">
        <is>
          <t>Sep</t>
        </is>
      </c>
      <c r="B14" s="146">
        <f>SUMPRODUCT((MONTH('Budget Planning'!$H$2:$H$51)=9)*(YEAR('Budget Planning'!$H$2:$H$51)=2025)*1)</f>
        <v/>
      </c>
      <c r="C14" s="24">
        <f>SUMPRODUCT((MONTH('Budget Planning'!$H$2:$H$51)=9)*(YEAR('Budget Planning'!$H$2:$H$51)=2025)*'Budget Planning'!$J$2:$J$51)</f>
        <v/>
      </c>
      <c r="D14" s="24">
        <f>SUMPRODUCT((MONTH('Budget Planning'!$H$2:$H$51)=9)*(YEAR('Budget Planning'!$H$2:$H$51)=2025)*'Budget Planning'!$N$2:$N$51)</f>
        <v/>
      </c>
      <c r="E14" s="24">
        <f>SUMPRODUCT((MONTH('Budget Planning'!$H$2:$H$51)=9)*(YEAR('Budget Planning'!$H$2:$H$51)=2025)*'Budget Planning'!$O$2:$O$51)</f>
        <v/>
      </c>
      <c r="F14" s="24">
        <f>SUMPRODUCT((MONTH('Budget Planning'!$H$2:$H$51)=9)*(YEAR('Budget Planning'!$H$2:$H$51)=2025)*'Budget Planning'!$M$2:$M$51)</f>
        <v/>
      </c>
      <c r="G14" s="144">
        <f>C14-F14</f>
        <v/>
      </c>
      <c r="H14" s="147">
        <f>IF(C14=0,0,G14/C14)</f>
        <v/>
      </c>
      <c r="I14" s="38">
        <f>IF(C14=0,0,D14/C14)</f>
        <v/>
      </c>
      <c r="J14" s="55">
        <f>IF(H14&lt;-0.05,"At Risk","On Track")</f>
        <v/>
      </c>
    </row>
    <row r="15" ht="18" customHeight="1">
      <c r="A15" s="18" t="inlineStr">
        <is>
          <t>Oct</t>
        </is>
      </c>
      <c r="B15" s="143">
        <f>SUMPRODUCT((MONTH('Budget Planning'!$H$2:$H$51)=10)*(YEAR('Budget Planning'!$H$2:$H$51)=2025)*1)</f>
        <v/>
      </c>
      <c r="C15" s="19">
        <f>SUMPRODUCT((MONTH('Budget Planning'!$H$2:$H$51)=10)*(YEAR('Budget Planning'!$H$2:$H$51)=2025)*'Budget Planning'!$J$2:$J$51)</f>
        <v/>
      </c>
      <c r="D15" s="19">
        <f>SUMPRODUCT((MONTH('Budget Planning'!$H$2:$H$51)=10)*(YEAR('Budget Planning'!$H$2:$H$51)=2025)*'Budget Planning'!$N$2:$N$51)</f>
        <v/>
      </c>
      <c r="E15" s="19">
        <f>SUMPRODUCT((MONTH('Budget Planning'!$H$2:$H$51)=10)*(YEAR('Budget Planning'!$H$2:$H$51)=2025)*'Budget Planning'!$O$2:$O$51)</f>
        <v/>
      </c>
      <c r="F15" s="19">
        <f>SUMPRODUCT((MONTH('Budget Planning'!$H$2:$H$51)=10)*(YEAR('Budget Planning'!$H$2:$H$51)=2025)*'Budget Planning'!$M$2:$M$51)</f>
        <v/>
      </c>
      <c r="G15" s="141">
        <f>C15-F15</f>
        <v/>
      </c>
      <c r="H15" s="170">
        <f>IF(C15=0,0,G15/C15)</f>
        <v/>
      </c>
      <c r="I15" s="34">
        <f>IF(C15=0,0,D15/C15)</f>
        <v/>
      </c>
      <c r="J15" s="55">
        <f>IF(H15&lt;-0.05,"At Risk","On Track")</f>
        <v/>
      </c>
    </row>
    <row r="16" ht="18" customHeight="1">
      <c r="A16" s="23" t="inlineStr">
        <is>
          <t>Nov</t>
        </is>
      </c>
      <c r="B16" s="146">
        <f>SUMPRODUCT((MONTH('Budget Planning'!$H$2:$H$51)=11)*(YEAR('Budget Planning'!$H$2:$H$51)=2025)*1)</f>
        <v/>
      </c>
      <c r="C16" s="24">
        <f>SUMPRODUCT((MONTH('Budget Planning'!$H$2:$H$51)=11)*(YEAR('Budget Planning'!$H$2:$H$51)=2025)*'Budget Planning'!$J$2:$J$51)</f>
        <v/>
      </c>
      <c r="D16" s="24">
        <f>SUMPRODUCT((MONTH('Budget Planning'!$H$2:$H$51)=11)*(YEAR('Budget Planning'!$H$2:$H$51)=2025)*'Budget Planning'!$N$2:$N$51)</f>
        <v/>
      </c>
      <c r="E16" s="24">
        <f>SUMPRODUCT((MONTH('Budget Planning'!$H$2:$H$51)=11)*(YEAR('Budget Planning'!$H$2:$H$51)=2025)*'Budget Planning'!$O$2:$O$51)</f>
        <v/>
      </c>
      <c r="F16" s="24">
        <f>SUMPRODUCT((MONTH('Budget Planning'!$H$2:$H$51)=11)*(YEAR('Budget Planning'!$H$2:$H$51)=2025)*'Budget Planning'!$M$2:$M$51)</f>
        <v/>
      </c>
      <c r="G16" s="144">
        <f>C16-F16</f>
        <v/>
      </c>
      <c r="H16" s="147">
        <f>IF(C16=0,0,G16/C16)</f>
        <v/>
      </c>
      <c r="I16" s="38">
        <f>IF(C16=0,0,D16/C16)</f>
        <v/>
      </c>
      <c r="J16" s="55">
        <f>IF(H16&lt;-0.05,"At Risk","On Track")</f>
        <v/>
      </c>
    </row>
    <row r="17" ht="18" customHeight="1">
      <c r="A17" s="18" t="inlineStr">
        <is>
          <t>Dec</t>
        </is>
      </c>
      <c r="B17" s="143">
        <f>SUMPRODUCT((MONTH('Budget Planning'!$H$2:$H$51)=12)*(YEAR('Budget Planning'!$H$2:$H$51)=2025)*1)</f>
        <v/>
      </c>
      <c r="C17" s="19">
        <f>SUMPRODUCT((MONTH('Budget Planning'!$H$2:$H$51)=12)*(YEAR('Budget Planning'!$H$2:$H$51)=2025)*'Budget Planning'!$J$2:$J$51)</f>
        <v/>
      </c>
      <c r="D17" s="19">
        <f>SUMPRODUCT((MONTH('Budget Planning'!$H$2:$H$51)=12)*(YEAR('Budget Planning'!$H$2:$H$51)=2025)*'Budget Planning'!$N$2:$N$51)</f>
        <v/>
      </c>
      <c r="E17" s="19">
        <f>SUMPRODUCT((MONTH('Budget Planning'!$H$2:$H$51)=12)*(YEAR('Budget Planning'!$H$2:$H$51)=2025)*'Budget Planning'!$O$2:$O$51)</f>
        <v/>
      </c>
      <c r="F17" s="19">
        <f>SUMPRODUCT((MONTH('Budget Planning'!$H$2:$H$51)=12)*(YEAR('Budget Planning'!$H$2:$H$51)=2025)*'Budget Planning'!$M$2:$M$51)</f>
        <v/>
      </c>
      <c r="G17" s="141">
        <f>C17-F17</f>
        <v/>
      </c>
      <c r="H17" s="170">
        <f>IF(C17=0,0,G17/C17)</f>
        <v/>
      </c>
      <c r="I17" s="34">
        <f>IF(C17=0,0,D17/C17)</f>
        <v/>
      </c>
      <c r="J17" s="55">
        <f>IF(H17&lt;-0.05,"At Risk","On Track")</f>
        <v/>
      </c>
    </row>
    <row r="18" ht="22" customHeight="1">
      <c r="A18" s="121" t="inlineStr">
        <is>
          <t>FULL YEAR TOTAL</t>
        </is>
      </c>
      <c r="C18" s="122">
        <f>SUM(C6:C17)</f>
        <v/>
      </c>
      <c r="D18" s="122">
        <f>SUM(D6:D17)</f>
        <v/>
      </c>
      <c r="E18" s="122">
        <f>SUM(E6:E17)</f>
        <v/>
      </c>
      <c r="F18" s="122">
        <f>SUM(F6:F17)</f>
        <v/>
      </c>
      <c r="G18" s="122">
        <f>SUM(G6:G17)</f>
        <v/>
      </c>
      <c r="H18" s="172">
        <f>IF(C18=0,0,G18/C18)</f>
        <v/>
      </c>
      <c r="I18" s="173">
        <f>IF(C18=0,0,D18/C18)</f>
        <v/>
      </c>
    </row>
    <row r="21" ht="22" customHeight="1">
      <c r="A21" s="3" t="inlineStr">
        <is>
          <t>2. QUARTERLY FINANCIAL SUMMARY</t>
        </is>
      </c>
    </row>
    <row r="22" ht="22" customHeight="1">
      <c r="A22" s="17" t="inlineStr">
        <is>
          <t>Quarter</t>
        </is>
      </c>
      <c r="B22" s="17" t="inlineStr">
        <is>
          <t># Events</t>
        </is>
      </c>
      <c r="C22" s="17" t="inlineStr">
        <is>
          <t>Budget (€)</t>
        </is>
      </c>
      <c r="D22" s="17" t="inlineStr">
        <is>
          <t>Committed (€)</t>
        </is>
      </c>
      <c r="E22" s="17" t="inlineStr">
        <is>
          <t>Actual (€)</t>
        </is>
      </c>
      <c r="F22" s="17" t="inlineStr">
        <is>
          <t>Forecast (€)</t>
        </is>
      </c>
      <c r="G22" s="17" t="inlineStr">
        <is>
          <t>Variance (€)</t>
        </is>
      </c>
      <c r="H22" s="17" t="inlineStr">
        <is>
          <t>Var %</t>
        </is>
      </c>
      <c r="I22" s="17" t="inlineStr">
        <is>
          <t>Forecast Accuracy %</t>
        </is>
      </c>
      <c r="J22" s="17" t="inlineStr">
        <is>
          <t>Status</t>
        </is>
      </c>
    </row>
    <row r="23" ht="20" customHeight="1">
      <c r="A23" s="23" t="inlineStr">
        <is>
          <t>Q1 2025</t>
        </is>
      </c>
      <c r="B23" s="146">
        <f>SUM(B6:B8)</f>
        <v/>
      </c>
      <c r="C23" s="24">
        <f>SUM(C6:C8)</f>
        <v/>
      </c>
      <c r="D23" s="24">
        <f>SUM(D6:D8)</f>
        <v/>
      </c>
      <c r="E23" s="24">
        <f>SUM(E6:E8)</f>
        <v/>
      </c>
      <c r="F23" s="24">
        <f>SUM(F6:F8)</f>
        <v/>
      </c>
      <c r="G23" s="144">
        <f>C23-F23</f>
        <v/>
      </c>
      <c r="H23" s="169">
        <f>IF(C23=0,0,G23/C23)</f>
        <v/>
      </c>
      <c r="I23" s="151">
        <f>1-ABS(H23)</f>
        <v/>
      </c>
      <c r="J23" s="60">
        <f>IF(H23&lt;-0.05,"At Risk","On Track")</f>
        <v/>
      </c>
    </row>
    <row r="24" ht="20" customHeight="1">
      <c r="A24" s="18" t="inlineStr">
        <is>
          <t>Q2 2025</t>
        </is>
      </c>
      <c r="B24" s="143">
        <f>SUM(B9:B11)</f>
        <v/>
      </c>
      <c r="C24" s="19">
        <f>SUM(C9:C11)</f>
        <v/>
      </c>
      <c r="D24" s="19">
        <f>SUM(D9:D11)</f>
        <v/>
      </c>
      <c r="E24" s="19">
        <f>SUM(E9:E11)</f>
        <v/>
      </c>
      <c r="F24" s="19">
        <f>SUM(F9:F11)</f>
        <v/>
      </c>
      <c r="G24" s="141">
        <f>C24-F24</f>
        <v/>
      </c>
      <c r="H24" s="170">
        <f>IF(C24=0,0,G24/C24)</f>
        <v/>
      </c>
      <c r="I24" s="149">
        <f>1-ABS(H24)</f>
        <v/>
      </c>
      <c r="J24" s="55">
        <f>IF(H24&lt;-0.05,"At Risk","On Track")</f>
        <v/>
      </c>
    </row>
    <row r="25" ht="20" customHeight="1">
      <c r="A25" s="23" t="inlineStr">
        <is>
          <t>Q3 2025</t>
        </is>
      </c>
      <c r="B25" s="146">
        <f>SUM(B12:B14)</f>
        <v/>
      </c>
      <c r="C25" s="24">
        <f>SUM(C12:C14)</f>
        <v/>
      </c>
      <c r="D25" s="24">
        <f>SUM(D12:D14)</f>
        <v/>
      </c>
      <c r="E25" s="24">
        <f>SUM(E12:E14)</f>
        <v/>
      </c>
      <c r="F25" s="24">
        <f>SUM(F12:F14)</f>
        <v/>
      </c>
      <c r="G25" s="144">
        <f>C25-F25</f>
        <v/>
      </c>
      <c r="H25" s="147">
        <f>IF(C25=0,0,G25/C25)</f>
        <v/>
      </c>
      <c r="I25" s="151">
        <f>1-ABS(H25)</f>
        <v/>
      </c>
      <c r="J25" s="55">
        <f>IF(H25&lt;-0.05,"At Risk","On Track")</f>
        <v/>
      </c>
    </row>
    <row r="26" ht="20" customHeight="1">
      <c r="A26" s="18" t="inlineStr">
        <is>
          <t>Q4 2025</t>
        </is>
      </c>
      <c r="B26" s="143">
        <f>SUM(B15:B17)</f>
        <v/>
      </c>
      <c r="C26" s="19">
        <f>SUM(C15:C17)</f>
        <v/>
      </c>
      <c r="D26" s="19">
        <f>SUM(D15:D17)</f>
        <v/>
      </c>
      <c r="E26" s="19">
        <f>SUM(E15:E17)</f>
        <v/>
      </c>
      <c r="F26" s="19">
        <f>SUM(F15:F17)</f>
        <v/>
      </c>
      <c r="G26" s="141">
        <f>C26-F26</f>
        <v/>
      </c>
      <c r="H26" s="170">
        <f>IF(C26=0,0,G26/C26)</f>
        <v/>
      </c>
      <c r="I26" s="149">
        <f>1-ABS(H26)</f>
        <v/>
      </c>
      <c r="J26" s="55">
        <f>IF(H26&lt;-0.05,"At Risk","On Track")</f>
        <v/>
      </c>
    </row>
    <row r="29" ht="22" customHeight="1">
      <c r="A29" s="3" t="inlineStr">
        <is>
          <t>3. BUDGET VS ACTUAL BY BUSINESS UNIT</t>
        </is>
      </c>
    </row>
    <row r="30" ht="22" customHeight="1">
      <c r="A30" s="17" t="inlineStr">
        <is>
          <t>Business Unit</t>
        </is>
      </c>
      <c r="B30" s="17" t="inlineStr">
        <is>
          <t># Events</t>
        </is>
      </c>
      <c r="C30" s="17" t="inlineStr">
        <is>
          <t>Budget (€)</t>
        </is>
      </c>
      <c r="D30" s="17" t="inlineStr">
        <is>
          <t>Committed (€)</t>
        </is>
      </c>
      <c r="E30" s="17" t="inlineStr">
        <is>
          <t>Actual (€)</t>
        </is>
      </c>
      <c r="F30" s="17" t="inlineStr">
        <is>
          <t>Forecast (€)</t>
        </is>
      </c>
      <c r="G30" s="17" t="inlineStr">
        <is>
          <t>Variance (€)</t>
        </is>
      </c>
      <c r="H30" s="17" t="inlineStr">
        <is>
          <t>Var %</t>
        </is>
      </c>
      <c r="I30" s="17" t="inlineStr">
        <is>
          <t>Absorption %</t>
        </is>
      </c>
    </row>
    <row r="31" ht="18" customHeight="1">
      <c r="A31" s="27" t="inlineStr">
        <is>
          <t>BU Cardiovascular</t>
        </is>
      </c>
      <c r="B31" s="146">
        <f>COUNTIF('Budget Planning'!$F$2:$F$51,$A31)</f>
        <v/>
      </c>
      <c r="C31" s="24">
        <f>SUMIF('Budget Planning'!$F$2:$F$51,$A31,'Budget Planning'!$J$2:$J$51)</f>
        <v/>
      </c>
      <c r="D31" s="24">
        <f>SUMIF('Budget Planning'!$F$2:$F$51,$A31,'Budget Planning'!$N$2:$N$51)</f>
        <v/>
      </c>
      <c r="E31" s="24">
        <f>SUMIF('Budget Planning'!$F$2:$F$51,$A31,'Budget Planning'!$O$2:$O$51)</f>
        <v/>
      </c>
      <c r="F31" s="24">
        <f>SUMIF('Budget Planning'!$F$2:$F$51,$A31,'Budget Planning'!$M$2:$M$51)</f>
        <v/>
      </c>
      <c r="G31" s="144">
        <f>C31-F31</f>
        <v/>
      </c>
      <c r="H31" s="169">
        <f>IF(C31=0,0,G31/C31)</f>
        <v/>
      </c>
      <c r="I31" s="38">
        <f>IF(C31=0,0,D31/C31)</f>
        <v/>
      </c>
    </row>
    <row r="32" ht="18" customHeight="1">
      <c r="A32" s="22" t="inlineStr">
        <is>
          <t>BU Immunology</t>
        </is>
      </c>
      <c r="B32" s="143">
        <f>COUNTIF('Budget Planning'!$F$2:$F$51,$A32)</f>
        <v/>
      </c>
      <c r="C32" s="19">
        <f>SUMIF('Budget Planning'!$F$2:$F$51,$A32,'Budget Planning'!$J$2:$J$51)</f>
        <v/>
      </c>
      <c r="D32" s="19">
        <f>SUMIF('Budget Planning'!$F$2:$F$51,$A32,'Budget Planning'!$N$2:$N$51)</f>
        <v/>
      </c>
      <c r="E32" s="19">
        <f>SUMIF('Budget Planning'!$F$2:$F$51,$A32,'Budget Planning'!$O$2:$O$51)</f>
        <v/>
      </c>
      <c r="F32" s="19">
        <f>SUMIF('Budget Planning'!$F$2:$F$51,$A32,'Budget Planning'!$M$2:$M$51)</f>
        <v/>
      </c>
      <c r="G32" s="141">
        <f>C32-F32</f>
        <v/>
      </c>
      <c r="H32" s="171">
        <f>IF(C32=0,0,G32/C32)</f>
        <v/>
      </c>
      <c r="I32" s="34">
        <f>IF(C32=0,0,D32/C32)</f>
        <v/>
      </c>
    </row>
    <row r="33" ht="18" customHeight="1">
      <c r="A33" s="27" t="inlineStr">
        <is>
          <t>BU Infectious Diseases</t>
        </is>
      </c>
      <c r="B33" s="146">
        <f>COUNTIF('Budget Planning'!$F$2:$F$51,$A33)</f>
        <v/>
      </c>
      <c r="C33" s="24">
        <f>SUMIF('Budget Planning'!$F$2:$F$51,$A33,'Budget Planning'!$J$2:$J$51)</f>
        <v/>
      </c>
      <c r="D33" s="24">
        <f>SUMIF('Budget Planning'!$F$2:$F$51,$A33,'Budget Planning'!$N$2:$N$51)</f>
        <v/>
      </c>
      <c r="E33" s="24">
        <f>SUMIF('Budget Planning'!$F$2:$F$51,$A33,'Budget Planning'!$O$2:$O$51)</f>
        <v/>
      </c>
      <c r="F33" s="24">
        <f>SUMIF('Budget Planning'!$F$2:$F$51,$A33,'Budget Planning'!$M$2:$M$51)</f>
        <v/>
      </c>
      <c r="G33" s="144">
        <f>C33-F33</f>
        <v/>
      </c>
      <c r="H33" s="169">
        <f>IF(C33=0,0,G33/C33)</f>
        <v/>
      </c>
      <c r="I33" s="38">
        <f>IF(C33=0,0,D33/C33)</f>
        <v/>
      </c>
    </row>
    <row r="34" ht="18" customHeight="1">
      <c r="A34" s="22" t="inlineStr">
        <is>
          <t>BU Neuroscience</t>
        </is>
      </c>
      <c r="B34" s="143">
        <f>COUNTIF('Budget Planning'!$F$2:$F$51,$A34)</f>
        <v/>
      </c>
      <c r="C34" s="19">
        <f>SUMIF('Budget Planning'!$F$2:$F$51,$A34,'Budget Planning'!$J$2:$J$51)</f>
        <v/>
      </c>
      <c r="D34" s="19">
        <f>SUMIF('Budget Planning'!$F$2:$F$51,$A34,'Budget Planning'!$N$2:$N$51)</f>
        <v/>
      </c>
      <c r="E34" s="19">
        <f>SUMIF('Budget Planning'!$F$2:$F$51,$A34,'Budget Planning'!$O$2:$O$51)</f>
        <v/>
      </c>
      <c r="F34" s="19">
        <f>SUMIF('Budget Planning'!$F$2:$F$51,$A34,'Budget Planning'!$M$2:$M$51)</f>
        <v/>
      </c>
      <c r="G34" s="141">
        <f>C34-F34</f>
        <v/>
      </c>
      <c r="H34" s="171">
        <f>IF(C34=0,0,G34/C34)</f>
        <v/>
      </c>
      <c r="I34" s="34">
        <f>IF(C34=0,0,D34/C34)</f>
        <v/>
      </c>
    </row>
    <row r="35" ht="18" customHeight="1">
      <c r="A35" s="27" t="inlineStr">
        <is>
          <t>BU Oncology</t>
        </is>
      </c>
      <c r="B35" s="146">
        <f>COUNTIF('Budget Planning'!$F$2:$F$51,$A35)</f>
        <v/>
      </c>
      <c r="C35" s="24">
        <f>SUMIF('Budget Planning'!$F$2:$F$51,$A35,'Budget Planning'!$J$2:$J$51)</f>
        <v/>
      </c>
      <c r="D35" s="24">
        <f>SUMIF('Budget Planning'!$F$2:$F$51,$A35,'Budget Planning'!$N$2:$N$51)</f>
        <v/>
      </c>
      <c r="E35" s="24">
        <f>SUMIF('Budget Planning'!$F$2:$F$51,$A35,'Budget Planning'!$O$2:$O$51)</f>
        <v/>
      </c>
      <c r="F35" s="24">
        <f>SUMIF('Budget Planning'!$F$2:$F$51,$A35,'Budget Planning'!$M$2:$M$51)</f>
        <v/>
      </c>
      <c r="G35" s="144">
        <f>C35-F35</f>
        <v/>
      </c>
      <c r="H35" s="169">
        <f>IF(C35=0,0,G35/C35)</f>
        <v/>
      </c>
      <c r="I35" s="38">
        <f>IF(C35=0,0,D35/C35)</f>
        <v/>
      </c>
    </row>
    <row r="36" ht="18" customHeight="1">
      <c r="A36" s="22" t="inlineStr">
        <is>
          <t>BU Rare Diseases</t>
        </is>
      </c>
      <c r="B36" s="143">
        <f>COUNTIF('Budget Planning'!$F$2:$F$51,$A36)</f>
        <v/>
      </c>
      <c r="C36" s="19">
        <f>SUMIF('Budget Planning'!$F$2:$F$51,$A36,'Budget Planning'!$J$2:$J$51)</f>
        <v/>
      </c>
      <c r="D36" s="19">
        <f>SUMIF('Budget Planning'!$F$2:$F$51,$A36,'Budget Planning'!$N$2:$N$51)</f>
        <v/>
      </c>
      <c r="E36" s="19">
        <f>SUMIF('Budget Planning'!$F$2:$F$51,$A36,'Budget Planning'!$O$2:$O$51)</f>
        <v/>
      </c>
      <c r="F36" s="19">
        <f>SUMIF('Budget Planning'!$F$2:$F$51,$A36,'Budget Planning'!$M$2:$M$51)</f>
        <v/>
      </c>
      <c r="G36" s="141">
        <f>C36-F36</f>
        <v/>
      </c>
      <c r="H36" s="171">
        <f>IF(C36=0,0,G36/C36)</f>
        <v/>
      </c>
      <c r="I36" s="34">
        <f>IF(C36=0,0,D36/C36)</f>
        <v/>
      </c>
    </row>
  </sheetData>
  <mergeCells count="6">
    <mergeCell ref="A1:M1"/>
    <mergeCell ref="A4:M4"/>
    <mergeCell ref="A21:M21"/>
    <mergeCell ref="A29:M29"/>
    <mergeCell ref="A18:B18"/>
    <mergeCell ref="A2:M2"/>
  </mergeCells>
  <printOptions gridLines="0"/>
  <pageMargins left="0.4" right="0.4" top="0.6" bottom="0.6" header="0.3" footer="0.3"/>
  <pageSetup orientation="landscape" fitToHeight="0" fitToWidth="1"/>
  <headerFooter>
    <oddHeader/>
    <oddFooter>&amp;LConfidential – Internal Use Only&amp;C&amp;A&amp;RPage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F58"/>
  <sheetViews>
    <sheetView showGridLines="0" tabSelected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18" customWidth="1" min="5" max="5"/>
    <col width="18" customWidth="1" min="6" max="6"/>
  </cols>
  <sheetData>
    <row r="1" ht="24" customHeight="1">
      <c r="A1" s="123" t="inlineStr">
        <is>
          <t>PHARMACEUTICAL EVENTS OPERATIONS – WORKBOOK DOCUMENTATION</t>
        </is>
      </c>
      <c r="B1" s="174" t="n"/>
      <c r="C1" s="174" t="n"/>
      <c r="D1" s="174" t="n"/>
      <c r="E1" s="174" t="n"/>
      <c r="F1" s="135" t="n"/>
    </row>
    <row r="2" ht="18" customHeight="1">
      <c r="A2" s="2" t="inlineStr">
        <is>
          <t>Version 1.1  |  Created: 24 June 2026  |  Owner: Finance &amp; PMO  |  Classification: CONFIDENTIAL</t>
        </is>
      </c>
    </row>
    <row r="4" ht="20" customHeight="1">
      <c r="A4" s="3" t="inlineStr">
        <is>
          <t>1. WORKBOOK OVERVIEW</t>
        </is>
      </c>
    </row>
    <row r="5" ht="22" customHeight="1">
      <c r="A5" s="17" t="inlineStr">
        <is>
          <t>Sheet Name</t>
        </is>
      </c>
      <c r="B5" s="17" t="inlineStr">
        <is>
          <t>Purpose</t>
        </is>
      </c>
      <c r="C5" s="124" t="n"/>
      <c r="D5" s="125" t="n"/>
    </row>
    <row r="6" ht="30" customHeight="1">
      <c r="A6" s="126" t="inlineStr">
        <is>
          <t>Dashboard Executive</t>
        </is>
      </c>
      <c r="B6" s="127" t="inlineStr">
        <is>
          <t>High-level KPI overview for C-suite and senior management. Shows budget vs forecast, event status, supplier risk, and monthly trends.</t>
        </is>
      </c>
      <c r="C6" s="128" t="n"/>
      <c r="D6" s="129" t="n"/>
      <c r="E6" s="130" t="inlineStr">
        <is>
          <t>Auto-calculated via live formulas from source sheets (SUM/SUMIF/COUNTIF/SUMPRODUCT). No manual editing; recalculates on open.</t>
        </is>
      </c>
      <c r="F6" s="129" t="n"/>
    </row>
    <row r="7" ht="30" customHeight="1">
      <c r="A7" s="131" t="inlineStr">
        <is>
          <t>Event Master Database</t>
        </is>
      </c>
      <c r="B7" s="132" t="inlineStr">
        <is>
          <t>Master registry of all pharmaceutical events. Central reference used by all other sheets via XLOOKUP/SUMIFS. Each event has a unique Event ID.</t>
        </is>
      </c>
      <c r="C7" s="128" t="n"/>
      <c r="D7" s="129" t="n"/>
      <c r="E7" s="133" t="inlineStr">
        <is>
          <t>Event ID format: EVT-YYYY-NNN. Mandatory for all downstream modules.</t>
        </is>
      </c>
      <c r="F7" s="129" t="n"/>
    </row>
    <row r="8" ht="30" customHeight="1">
      <c r="A8" s="126" t="inlineStr">
        <is>
          <t>Budget Planning</t>
        </is>
      </c>
      <c r="B8" s="127" t="inlineStr">
        <is>
          <t>Full budget lifecycle management including initial budget, approved budget, multiple forecast versions, committed spend, and actuals.</t>
        </is>
      </c>
      <c r="C8" s="128" t="n"/>
      <c r="D8" s="129" t="n"/>
      <c r="E8" s="130" t="inlineStr">
        <is>
          <t>Forecast versions tracked for audit. Remaining, Variance and Variance % are live formulas (auditable, recalculate automatically).</t>
        </is>
      </c>
      <c r="F8" s="129" t="n"/>
    </row>
    <row r="9" ht="30" customHeight="1">
      <c r="A9" s="131" t="inlineStr">
        <is>
          <t>Supplier Management</t>
        </is>
      </c>
      <c r="B9" s="132" t="inlineStr">
        <is>
          <t>End-to-end supplier governance: contract status, PO linkage, invoice tracking, payment status, risk classification, and overdue monitoring.</t>
        </is>
      </c>
      <c r="C9" s="128" t="n"/>
      <c r="D9" s="129" t="n"/>
      <c r="E9" s="133" t="inlineStr">
        <is>
          <t>Risk indicator drives dashboard supplier concentration analysis.</t>
        </is>
      </c>
      <c r="F9" s="129" t="n"/>
    </row>
    <row r="10" ht="30" customHeight="1">
      <c r="A10" s="126" t="inlineStr">
        <is>
          <t>Cost Control</t>
        </is>
      </c>
      <c r="B10" s="127" t="inlineStr">
        <is>
          <t>Granular cost tracking by event and cost category. Enables variance analysis at P&amp;L line level (Airfare, Hotel, Venue, F&amp;B, AV, Agency Fees, etc.).</t>
        </is>
      </c>
      <c r="C10" s="128" t="n"/>
      <c r="D10" s="129" t="n"/>
      <c r="E10" s="130" t="inlineStr">
        <is>
          <t>Variance, Variance %, Absorption %, Over/Under and Status are live formulas linked to budgeted vs committed.</t>
        </is>
      </c>
      <c r="F10" s="129" t="n"/>
    </row>
    <row r="11" ht="30" customHeight="1">
      <c r="A11" s="131" t="inlineStr">
        <is>
          <t>PO Tracking</t>
        </is>
      </c>
      <c r="B11" s="132" t="inlineStr">
        <is>
          <t>Purchase order lifecycle management from request to payment. Tracks approval cycle times, invoice matching, and overdue payments.</t>
        </is>
      </c>
      <c r="C11" s="128" t="n"/>
      <c r="D11" s="129" t="n"/>
      <c r="E11" s="133" t="inlineStr">
        <is>
          <t>PO Number is foreign key linking to Supplier Management.</t>
        </is>
      </c>
      <c r="F11" s="129" t="n"/>
    </row>
    <row r="12" ht="30" customHeight="1">
      <c r="A12" s="126" t="inlineStr">
        <is>
          <t>Executive Reporting</t>
        </is>
      </c>
      <c r="B12" s="127" t="inlineStr">
        <is>
          <t>Consolidated financial summaries by month, quarter, and business unit. Includes Budget vs Actual, Forecast Accuracy, and BU-level variance.</t>
        </is>
      </c>
      <c r="C12" s="128" t="n"/>
      <c r="D12" s="129" t="n"/>
      <c r="E12" s="130" t="inlineStr">
        <is>
          <t>Monthly, quarterly and BU summaries are live formulas referencing Budget Planning. Refresh on open.</t>
        </is>
      </c>
      <c r="F12" s="129" t="n"/>
    </row>
    <row r="13" ht="30" customHeight="1">
      <c r="A13" s="131" t="inlineStr">
        <is>
          <t>Documentation</t>
        </is>
      </c>
      <c r="B13" s="132" t="inlineStr">
        <is>
          <t>This sheet. Describes structure, data model, business rules, naming conventions, and automation integration points.</t>
        </is>
      </c>
      <c r="C13" s="128" t="n"/>
      <c r="D13" s="129" t="n"/>
      <c r="E13" s="133" t="inlineStr">
        <is>
          <t>Update when adding new fields or changing business rules.</t>
        </is>
      </c>
      <c r="F13" s="129" t="n"/>
    </row>
    <row r="16" ht="20" customHeight="1">
      <c r="A16" s="3" t="inlineStr">
        <is>
          <t>2. DATA MODEL &amp; KEY RELATIONSHIPS</t>
        </is>
      </c>
    </row>
    <row r="17" ht="22" customHeight="1">
      <c r="A17" s="17" t="inlineStr">
        <is>
          <t>Relationship</t>
        </is>
      </c>
      <c r="B17" s="17" t="inlineStr">
        <is>
          <t>Description</t>
        </is>
      </c>
      <c r="C17" s="124" t="n"/>
      <c r="D17" s="125" t="n"/>
    </row>
    <row r="18" ht="30" customHeight="1">
      <c r="A18" s="126" t="inlineStr">
        <is>
          <t>Event Master → Budget Planning</t>
        </is>
      </c>
      <c r="B18" s="127" t="inlineStr">
        <is>
          <t>Each event (Event ID) has exactly one budget record. Budget Planning references Event Master for event metadata.</t>
        </is>
      </c>
      <c r="C18" s="128" t="n"/>
      <c r="D18" s="129" t="n"/>
      <c r="E18" s="130" t="inlineStr">
        <is>
          <t>1:1</t>
        </is>
      </c>
      <c r="F18" s="129" t="n"/>
    </row>
    <row r="19" ht="30" customHeight="1">
      <c r="A19" s="131" t="inlineStr">
        <is>
          <t>Event Master → Supplier Management</t>
        </is>
      </c>
      <c r="B19" s="132" t="inlineStr">
        <is>
          <t>Each event can have multiple suppliers. Supplier records reference Event ID. Enables multi-supplier-per-event tracking.</t>
        </is>
      </c>
      <c r="C19" s="128" t="n"/>
      <c r="D19" s="129" t="n"/>
      <c r="E19" s="133" t="inlineStr">
        <is>
          <t>1:N</t>
        </is>
      </c>
      <c r="F19" s="129" t="n"/>
    </row>
    <row r="20" ht="30" customHeight="1">
      <c r="A20" s="126" t="inlineStr">
        <is>
          <t>Event Master → Cost Control</t>
        </is>
      </c>
      <c r="B20" s="127" t="inlineStr">
        <is>
          <t>Each event has cost records per cost category (up to 11 categories). Cost Control aggregates to Budget Planning totals.</t>
        </is>
      </c>
      <c r="C20" s="128" t="n"/>
      <c r="D20" s="129" t="n"/>
      <c r="E20" s="130" t="inlineStr">
        <is>
          <t>1:N</t>
        </is>
      </c>
      <c r="F20" s="129" t="n"/>
    </row>
    <row r="21" ht="30" customHeight="1">
      <c r="A21" s="131" t="inlineStr">
        <is>
          <t>Supplier Management → PO Tracking</t>
        </is>
      </c>
      <c r="B21" s="132" t="inlineStr">
        <is>
          <t>Each supplier record generates one PO. PO Number is the linking key. Tracks full procurement lifecycle.</t>
        </is>
      </c>
      <c r="C21" s="128" t="n"/>
      <c r="D21" s="129" t="n"/>
      <c r="E21" s="133" t="inlineStr">
        <is>
          <t>1:1</t>
        </is>
      </c>
      <c r="F21" s="129" t="n"/>
    </row>
    <row r="22" ht="30" customHeight="1">
      <c r="A22" s="126" t="inlineStr">
        <is>
          <t>Budget Planning → Executive Reporting</t>
        </is>
      </c>
      <c r="B22" s="127" t="inlineStr">
        <is>
          <t>Executive Reporting summarizes Budget Planning data by month, quarter, and business unit using SUMIFS formulas.</t>
        </is>
      </c>
      <c r="C22" s="128" t="n"/>
      <c r="D22" s="129" t="n"/>
      <c r="E22" s="130" t="inlineStr">
        <is>
          <t>N:1 (aggregation)</t>
        </is>
      </c>
      <c r="F22" s="129" t="n"/>
    </row>
    <row r="25" ht="20" customHeight="1">
      <c r="A25" s="3" t="inlineStr">
        <is>
          <t>3. BUSINESS RULES &amp; FINANCIAL CONTROLS</t>
        </is>
      </c>
    </row>
    <row r="26" ht="22" customHeight="1">
      <c r="A26" s="17" t="inlineStr">
        <is>
          <t>Rule ID</t>
        </is>
      </c>
      <c r="B26" s="17" t="inlineStr">
        <is>
          <t>Rule Description</t>
        </is>
      </c>
      <c r="C26" s="124" t="n"/>
      <c r="D26" s="125" t="n"/>
    </row>
    <row r="27" ht="30" customHeight="1">
      <c r="A27" s="131" t="inlineStr">
        <is>
          <t>BR-001</t>
        </is>
      </c>
      <c r="B27" s="132" t="inlineStr">
        <is>
          <t>Event ID must be unique and follow format EVT-YYYY-NNN. It is the primary key across all modules.</t>
        </is>
      </c>
      <c r="C27" s="128" t="n"/>
      <c r="D27" s="129" t="n"/>
      <c r="E27" s="133" t="inlineStr">
        <is>
          <t>Data integrity</t>
        </is>
      </c>
      <c r="F27" s="129" t="n"/>
    </row>
    <row r="28" ht="30" customHeight="1">
      <c r="A28" s="126" t="inlineStr">
        <is>
          <t>BR-002</t>
        </is>
      </c>
      <c r="B28" s="127" t="inlineStr">
        <is>
          <t>Approved Budget cannot be changed after sign-off. Changes require a new Forecast Version (FV1, FV2, FV3).</t>
        </is>
      </c>
      <c r="C28" s="128" t="n"/>
      <c r="D28" s="129" t="n"/>
      <c r="E28" s="130" t="inlineStr">
        <is>
          <t>Audit / Governance</t>
        </is>
      </c>
      <c r="F28" s="129" t="n"/>
    </row>
    <row r="29" ht="30" customHeight="1">
      <c r="A29" s="131" t="inlineStr">
        <is>
          <t>BR-003</t>
        </is>
      </c>
      <c r="B29" s="132" t="inlineStr">
        <is>
          <t>Current Forecast is always the latest Forecast Version. Never overwrite prior versions.</t>
        </is>
      </c>
      <c r="C29" s="128" t="n"/>
      <c r="D29" s="129" t="n"/>
      <c r="E29" s="133" t="inlineStr">
        <is>
          <t>Version control</t>
        </is>
      </c>
      <c r="F29" s="129" t="n"/>
    </row>
    <row r="30" ht="30" customHeight="1">
      <c r="A30" s="126" t="inlineStr">
        <is>
          <t>BR-004</t>
        </is>
      </c>
      <c r="B30" s="127" t="inlineStr">
        <is>
          <t>Committed spend = sum of all signed POs. Actual spend = sum of all paid/invoiced amounts.</t>
        </is>
      </c>
      <c r="C30" s="128" t="n"/>
      <c r="D30" s="129" t="n"/>
      <c r="E30" s="130" t="inlineStr">
        <is>
          <t>Financial accuracy</t>
        </is>
      </c>
      <c r="F30" s="129" t="n"/>
    </row>
    <row r="31" ht="30" customHeight="1">
      <c r="A31" s="131" t="inlineStr">
        <is>
          <t>BR-005</t>
        </is>
      </c>
      <c r="B31" s="132" t="inlineStr">
        <is>
          <t>Variance % alert threshold: &gt;5% favorable = On Track; 5-15% adverse = At Risk; &gt;15% adverse = Over Budget.</t>
        </is>
      </c>
      <c r="C31" s="128" t="n"/>
      <c r="D31" s="129" t="n"/>
      <c r="E31" s="133" t="inlineStr">
        <is>
          <t>Escalation triggers</t>
        </is>
      </c>
      <c r="F31" s="129" t="n"/>
    </row>
    <row r="32" ht="30" customHeight="1">
      <c r="A32" s="126" t="inlineStr">
        <is>
          <t>BR-006</t>
        </is>
      </c>
      <c r="B32" s="127" t="inlineStr">
        <is>
          <t>Supplier Risk: High = contract not signed OR overdue payment OR disputed invoice. Medium = pending contract. Low = all clear.</t>
        </is>
      </c>
      <c r="C32" s="128" t="n"/>
      <c r="D32" s="129" t="n"/>
      <c r="E32" s="130" t="inlineStr">
        <is>
          <t>Risk management</t>
        </is>
      </c>
      <c r="F32" s="129" t="n"/>
    </row>
    <row r="33" ht="30" customHeight="1">
      <c r="A33" s="131" t="inlineStr">
        <is>
          <t>BR-007</t>
        </is>
      </c>
      <c r="B33" s="132" t="inlineStr">
        <is>
          <t>PO must be approved before services are rendered. POs without approval dates are flagged in Cost Control.</t>
        </is>
      </c>
      <c r="C33" s="128" t="n"/>
      <c r="D33" s="129" t="n"/>
      <c r="E33" s="133" t="inlineStr">
        <is>
          <t>Compliance</t>
        </is>
      </c>
      <c r="F33" s="129" t="n"/>
    </row>
    <row r="34" ht="30" customHeight="1">
      <c r="A34" s="126" t="inlineStr">
        <is>
          <t>BR-008</t>
        </is>
      </c>
      <c r="B34" s="127" t="inlineStr">
        <is>
          <t>All amounts in EUR. Foreign currency conversion at month-end rate logged in Notes field.</t>
        </is>
      </c>
      <c r="C34" s="128" t="n"/>
      <c r="D34" s="129" t="n"/>
      <c r="E34" s="130" t="inlineStr">
        <is>
          <t>Currency control</t>
        </is>
      </c>
      <c r="F34" s="129" t="n"/>
    </row>
    <row r="35" ht="30" customHeight="1">
      <c r="A35" s="131" t="inlineStr">
        <is>
          <t>BR-009</t>
        </is>
      </c>
      <c r="B35" s="132" t="inlineStr">
        <is>
          <t>Status progression: Planning → Confirmed → In Progress → Completed → Closed. Cancellation can occur at any stage.</t>
        </is>
      </c>
      <c r="C35" s="128" t="n"/>
      <c r="D35" s="129" t="n"/>
      <c r="E35" s="133" t="inlineStr">
        <is>
          <t>Process governance</t>
        </is>
      </c>
      <c r="F35" s="129" t="n"/>
    </row>
    <row r="36" ht="30" customHeight="1">
      <c r="A36" s="126" t="inlineStr">
        <is>
          <t>BR-010</t>
        </is>
      </c>
      <c r="B36" s="127" t="inlineStr">
        <is>
          <t>Overdue invoices are automatically flagged when Payment Status = Overdue AND Due Date &lt; Today.</t>
        </is>
      </c>
      <c r="C36" s="128" t="n"/>
      <c r="D36" s="129" t="n"/>
      <c r="E36" s="130" t="inlineStr">
        <is>
          <t>Cash flow control</t>
        </is>
      </c>
      <c r="F36" s="129" t="n"/>
    </row>
    <row r="39" ht="20" customHeight="1">
      <c r="A39" s="3" t="inlineStr">
        <is>
          <t>4. NAMING CONVENTIONS &amp; COLUMN STANDARDS</t>
        </is>
      </c>
    </row>
    <row r="40" ht="22" customHeight="1">
      <c r="A40" s="17" t="inlineStr">
        <is>
          <t>Convention</t>
        </is>
      </c>
      <c r="B40" s="17" t="inlineStr">
        <is>
          <t>Standard</t>
        </is>
      </c>
      <c r="C40" s="124" t="n"/>
      <c r="D40" s="125" t="n"/>
    </row>
    <row r="41" ht="30" customHeight="1">
      <c r="A41" s="131" t="inlineStr">
        <is>
          <t>Table Names</t>
        </is>
      </c>
      <c r="B41" s="132" t="inlineStr">
        <is>
          <t>tblEvents, tblBudgets, tblSuppliers, tblCosts, tblPOs. Prefix 'tbl' + CamelCase.</t>
        </is>
      </c>
      <c r="C41" s="128" t="n"/>
      <c r="D41" s="129" t="n"/>
      <c r="E41" s="133" t="inlineStr">
        <is>
          <t>Power Query / Office Scripts compatibility</t>
        </is>
      </c>
      <c r="F41" s="129" t="n"/>
    </row>
    <row r="42" ht="30" customHeight="1">
      <c r="A42" s="126" t="inlineStr">
        <is>
          <t>Column Names</t>
        </is>
      </c>
      <c r="B42" s="127" t="inlineStr">
        <is>
          <t>PascalCase, no spaces, no special chars. E.g.: EventID, ApprovedBudget, PaymentStatus.</t>
        </is>
      </c>
      <c r="C42" s="128" t="n"/>
      <c r="D42" s="129" t="n"/>
      <c r="E42" s="130" t="inlineStr">
        <is>
          <t>Power Automate / SharePoint schema alignment</t>
        </is>
      </c>
      <c r="F42" s="129" t="n"/>
    </row>
    <row r="43" ht="30" customHeight="1">
      <c r="A43" s="131" t="inlineStr">
        <is>
          <t>Date Fields</t>
        </is>
      </c>
      <c r="B43" s="132" t="inlineStr">
        <is>
          <t>ISO format in data layer (YYYY-MM-DD). Display format DD/MM/YYYY via cell formatting.</t>
        </is>
      </c>
      <c r="C43" s="128" t="n"/>
      <c r="D43" s="129" t="n"/>
      <c r="E43" s="133" t="inlineStr">
        <is>
          <t>International standards</t>
        </is>
      </c>
      <c r="F43" s="129" t="n"/>
    </row>
    <row r="44" ht="30" customHeight="1">
      <c r="A44" s="126" t="inlineStr">
        <is>
          <t>Currency Fields</t>
        </is>
      </c>
      <c r="B44" s="127" t="inlineStr">
        <is>
          <t>EUR suffix in column headers. Numeric value only in cells. Format via number format string.</t>
        </is>
      </c>
      <c r="C44" s="128" t="n"/>
      <c r="D44" s="129" t="n"/>
      <c r="E44" s="130" t="inlineStr">
        <is>
          <t>Multi-currency readiness</t>
        </is>
      </c>
      <c r="F44" s="129" t="n"/>
    </row>
    <row r="45" ht="30" customHeight="1">
      <c r="A45" s="131" t="inlineStr">
        <is>
          <t>Percentage Fields</t>
        </is>
      </c>
      <c r="B45" s="132" t="inlineStr">
        <is>
          <t>Stored as decimal (0.15 = 15%). Display via percentage number format.</t>
        </is>
      </c>
      <c r="C45" s="128" t="n"/>
      <c r="D45" s="129" t="n"/>
      <c r="E45" s="133" t="inlineStr">
        <is>
          <t>Formula compatibility</t>
        </is>
      </c>
      <c r="F45" s="129" t="n"/>
    </row>
    <row r="46" ht="30" customHeight="1">
      <c r="A46" s="126" t="inlineStr">
        <is>
          <t>ID Fields</t>
        </is>
      </c>
      <c r="B46" s="127" t="inlineStr">
        <is>
          <t>EVT-YYYY-NNN (events), PO-YYYY-NNNN (POs), SUP-NNNN (suppliers), CC-NNNNN (cost lines).</t>
        </is>
      </c>
      <c r="C46" s="128" t="n"/>
      <c r="D46" s="129" t="n"/>
      <c r="E46" s="130" t="inlineStr">
        <is>
          <t>Traceability</t>
        </is>
      </c>
      <c r="F46" s="129" t="n"/>
    </row>
    <row r="47" ht="30" customHeight="1">
      <c r="A47" s="131" t="inlineStr">
        <is>
          <t>Status Fields</t>
        </is>
      </c>
      <c r="B47" s="132" t="inlineStr">
        <is>
          <t>Controlled via Data Validation dropdown lists. Closed list—no free text.</t>
        </is>
      </c>
      <c r="C47" s="128" t="n"/>
      <c r="D47" s="129" t="n"/>
      <c r="E47" s="133" t="inlineStr">
        <is>
          <t>Data quality</t>
        </is>
      </c>
      <c r="F47" s="129" t="n"/>
    </row>
    <row r="48" ht="30" customHeight="1">
      <c r="A48" s="126" t="inlineStr">
        <is>
          <t>Audit Fields</t>
        </is>
      </c>
      <c r="B48" s="127" t="inlineStr">
        <is>
          <t>CreatedDate, LastModified, RequestedBy, ApprovedBy on all transactional tables.</t>
        </is>
      </c>
      <c r="C48" s="128" t="n"/>
      <c r="D48" s="129" t="n"/>
      <c r="E48" s="130" t="inlineStr">
        <is>
          <t>SOX / audit trail</t>
        </is>
      </c>
      <c r="F48" s="129" t="n"/>
    </row>
    <row r="51" ht="20" customHeight="1">
      <c r="A51" s="3" t="inlineStr">
        <is>
          <t>5. AUTOMATION INTEGRATION GUIDE</t>
        </is>
      </c>
    </row>
    <row r="52" ht="22" customHeight="1">
      <c r="A52" s="17" t="inlineStr">
        <is>
          <t>System</t>
        </is>
      </c>
      <c r="B52" s="17" t="inlineStr">
        <is>
          <t>Integration Description</t>
        </is>
      </c>
      <c r="C52" s="124" t="n"/>
      <c r="D52" s="125" t="n"/>
    </row>
    <row r="53" ht="30" customHeight="1">
      <c r="A53" s="131" t="inlineStr">
        <is>
          <t>Power Automate</t>
        </is>
      </c>
      <c r="B53" s="132" t="inlineStr">
        <is>
          <t>Connect to SharePoint document library. Trigger: on file modify. Action: refresh Power Query connections, send email alerts for Overdue invoices and High Risk suppliers.</t>
        </is>
      </c>
      <c r="C53" s="128" t="n"/>
      <c r="D53" s="129" t="n"/>
      <c r="E53" s="133" t="inlineStr">
        <is>
          <t>Active</t>
        </is>
      </c>
      <c r="F53" s="129" t="n"/>
    </row>
    <row r="54" ht="30" customHeight="1">
      <c r="A54" s="126" t="inlineStr">
        <is>
          <t>SharePoint Storage</t>
        </is>
      </c>
      <c r="B54" s="127" t="inlineStr">
        <is>
          <t>Store workbook in SharePoint Online. Enable co-authoring. Set version history to 500 versions. Use document library metadata for TA and BU tagging.</t>
        </is>
      </c>
      <c r="C54" s="128" t="n"/>
      <c r="D54" s="129" t="n"/>
      <c r="E54" s="130" t="inlineStr">
        <is>
          <t>Ready</t>
        </is>
      </c>
      <c r="F54" s="129" t="n"/>
    </row>
    <row r="55" ht="30" customHeight="1">
      <c r="A55" s="131" t="inlineStr">
        <is>
          <t>Office Scripts</t>
        </is>
      </c>
      <c r="B55" s="132" t="inlineStr">
        <is>
          <t>Script 1: Auto-populate Event ID on new row. Script 2: Set LastModified timestamp. Script 3: Flag overdue invoices. Script 4: Export Dashboard to PDF for distribution.</t>
        </is>
      </c>
      <c r="C55" s="128" t="n"/>
      <c r="D55" s="129" t="n"/>
      <c r="E55" s="133" t="inlineStr">
        <is>
          <t>Designed</t>
        </is>
      </c>
      <c r="F55" s="129" t="n"/>
    </row>
    <row r="56" ht="30" customHeight="1">
      <c r="A56" s="126" t="inlineStr">
        <is>
          <t>Power Query</t>
        </is>
      </c>
      <c r="B56" s="127" t="inlineStr">
        <is>
          <t>All structured tables (tblEvents, tblBudgets, etc.) are Power Query ready. Refresh all connections after data imports. Use Table.TransformColumnTypes for data type enforcement.</t>
        </is>
      </c>
      <c r="C56" s="128" t="n"/>
      <c r="D56" s="129" t="n"/>
      <c r="E56" s="130" t="inlineStr">
        <is>
          <t>Ready</t>
        </is>
      </c>
      <c r="F56" s="129" t="n"/>
    </row>
    <row r="57" ht="30" customHeight="1">
      <c r="A57" s="131" t="inlineStr">
        <is>
          <t>Power BI</t>
        </is>
      </c>
      <c r="B57" s="132" t="inlineStr">
        <is>
          <t>Connect Power BI Desktop to this workbook via Excel connector. Publish to Power BI Service for interactive executive dashboards with drill-through capability.</t>
        </is>
      </c>
      <c r="C57" s="128" t="n"/>
      <c r="D57" s="129" t="n"/>
      <c r="E57" s="133" t="inlineStr">
        <is>
          <t>Planned</t>
        </is>
      </c>
      <c r="F57" s="129" t="n"/>
    </row>
    <row r="58" ht="30" customHeight="1">
      <c r="A58" s="126" t="inlineStr">
        <is>
          <t>Teams Integration</t>
        </is>
      </c>
      <c r="B58" s="127" t="inlineStr">
        <is>
          <t>Use Power Automate to post weekly KPI summary card to Teams channel. Include Budget vs Forecast, Active Events count, and High Risk Supplier count.</t>
        </is>
      </c>
      <c r="C58" s="128" t="n"/>
      <c r="D58" s="129" t="n"/>
      <c r="E58" s="130" t="inlineStr">
        <is>
          <t>Planned</t>
        </is>
      </c>
      <c r="F58" s="129" t="n"/>
    </row>
  </sheetData>
  <mergeCells count="128">
    <mergeCell ref="B11:D11"/>
    <mergeCell ref="B42:D42"/>
    <mergeCell ref="B57:D57"/>
    <mergeCell ref="A43"/>
    <mergeCell ref="B44:D44"/>
    <mergeCell ref="B53:D53"/>
    <mergeCell ref="E8:F8"/>
    <mergeCell ref="B34:D34"/>
    <mergeCell ref="B28:D28"/>
    <mergeCell ref="B30:D30"/>
    <mergeCell ref="B6:D6"/>
    <mergeCell ref="B20:D20"/>
    <mergeCell ref="E34:F34"/>
    <mergeCell ref="A6"/>
    <mergeCell ref="E27:F27"/>
    <mergeCell ref="E36:F36"/>
    <mergeCell ref="B54:D54"/>
    <mergeCell ref="A51:F51"/>
    <mergeCell ref="A55"/>
    <mergeCell ref="B56:D56"/>
    <mergeCell ref="E22:F22"/>
    <mergeCell ref="E53:F53"/>
    <mergeCell ref="B43:D43"/>
    <mergeCell ref="A32"/>
    <mergeCell ref="E12:F12"/>
    <mergeCell ref="A16:F16"/>
    <mergeCell ref="E55:F55"/>
    <mergeCell ref="B8:D8"/>
    <mergeCell ref="A29"/>
    <mergeCell ref="B17:D17"/>
    <mergeCell ref="E5:F5"/>
    <mergeCell ref="E48:F48"/>
    <mergeCell ref="A13"/>
    <mergeCell ref="A44"/>
    <mergeCell ref="B10:D10"/>
    <mergeCell ref="A2:F2"/>
    <mergeCell ref="A31"/>
    <mergeCell ref="A58"/>
    <mergeCell ref="B19:D19"/>
    <mergeCell ref="B9:D9"/>
    <mergeCell ref="E40:F40"/>
    <mergeCell ref="B5:D5"/>
    <mergeCell ref="B36:D36"/>
    <mergeCell ref="B45:D45"/>
    <mergeCell ref="A7"/>
    <mergeCell ref="E26:F26"/>
    <mergeCell ref="B47:D47"/>
    <mergeCell ref="A27"/>
    <mergeCell ref="A18"/>
    <mergeCell ref="B31:D31"/>
    <mergeCell ref="B46:D46"/>
    <mergeCell ref="B21:D21"/>
    <mergeCell ref="A42"/>
    <mergeCell ref="E18:F18"/>
    <mergeCell ref="E58:F58"/>
    <mergeCell ref="A47"/>
    <mergeCell ref="B48:D48"/>
    <mergeCell ref="A22"/>
    <mergeCell ref="A35"/>
    <mergeCell ref="A20"/>
    <mergeCell ref="B13:D13"/>
    <mergeCell ref="E52:F52"/>
    <mergeCell ref="A28"/>
    <mergeCell ref="E44:F44"/>
    <mergeCell ref="E20:F20"/>
    <mergeCell ref="E29:F29"/>
    <mergeCell ref="A48"/>
    <mergeCell ref="A30"/>
    <mergeCell ref="E13:F13"/>
    <mergeCell ref="E31:F31"/>
    <mergeCell ref="E6:F6"/>
    <mergeCell ref="E46:F46"/>
    <mergeCell ref="B41:D41"/>
    <mergeCell ref="B35:D35"/>
    <mergeCell ref="A54"/>
    <mergeCell ref="A41"/>
    <mergeCell ref="A39:F39"/>
    <mergeCell ref="E57:F57"/>
    <mergeCell ref="E54:F54"/>
    <mergeCell ref="A56"/>
    <mergeCell ref="E32:F32"/>
    <mergeCell ref="E7:F7"/>
    <mergeCell ref="E21:F21"/>
    <mergeCell ref="B22:D22"/>
    <mergeCell ref="A1:F1"/>
    <mergeCell ref="E41:F41"/>
    <mergeCell ref="B12:D12"/>
    <mergeCell ref="A33"/>
    <mergeCell ref="E56:F56"/>
    <mergeCell ref="E43:F43"/>
    <mergeCell ref="A8"/>
    <mergeCell ref="A53"/>
    <mergeCell ref="E33:F33"/>
    <mergeCell ref="E42:F42"/>
    <mergeCell ref="A10"/>
    <mergeCell ref="B29:D29"/>
    <mergeCell ref="E17:F17"/>
    <mergeCell ref="A19"/>
    <mergeCell ref="E35:F35"/>
    <mergeCell ref="A34"/>
    <mergeCell ref="A9"/>
    <mergeCell ref="E10:F10"/>
    <mergeCell ref="E19:F19"/>
    <mergeCell ref="B40:D40"/>
    <mergeCell ref="E28:F28"/>
    <mergeCell ref="A4:F4"/>
    <mergeCell ref="A36"/>
    <mergeCell ref="E9:F9"/>
    <mergeCell ref="A11"/>
    <mergeCell ref="B55:D55"/>
    <mergeCell ref="A45"/>
    <mergeCell ref="B33:D33"/>
    <mergeCell ref="E30:F30"/>
    <mergeCell ref="B32:D32"/>
    <mergeCell ref="E11:F11"/>
    <mergeCell ref="B26:D26"/>
    <mergeCell ref="E45:F45"/>
    <mergeCell ref="B7:D7"/>
    <mergeCell ref="A46"/>
    <mergeCell ref="A12"/>
    <mergeCell ref="A21"/>
    <mergeCell ref="A57"/>
    <mergeCell ref="B18:D18"/>
    <mergeCell ref="B27:D27"/>
    <mergeCell ref="B58:D58"/>
    <mergeCell ref="B52:D52"/>
    <mergeCell ref="E47:F47"/>
    <mergeCell ref="A25:F25"/>
  </mergeCells>
  <printOptions gridLines="0"/>
  <pageMargins left="0.4" right="0.4" top="0.6" bottom="0.6" header="0.3" footer="0.3"/>
  <pageSetup orientation="landscape" fitToHeight="0" fitToWidth="1"/>
  <headerFooter>
    <oddHeader/>
    <oddFooter>&amp;LConfidential – Internal Use Only&amp;C&amp;A&amp;RPage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Pharmaceutical Events Operations – Enterprise Control</dc:title>
  <dc:subject>Event budget, supplier, PO &amp; cost control (FY 2025)</dc:subject>
  <dcterms:created xsi:type="dcterms:W3CDTF">2026-06-24T20:24:50Z</dcterms:created>
  <dcterms:modified xsi:type="dcterms:W3CDTF">2026-06-29T07:47:22Z</dcterms:modified>
  <cp:lastModifiedBy>Finance &amp; PMO</cp:lastModifiedBy>
  <cp:category>Financial Control</cp:category>
  <cp:keywords>pharma; events; budget; control; finance; PMO</cp:keywords>
</cp:coreProperties>
</file>